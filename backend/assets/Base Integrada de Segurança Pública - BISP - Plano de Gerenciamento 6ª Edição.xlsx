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" sheetId="1" r:id="rId5"/>
    <sheet state="hidden" name="Cronograma Geral e Referências" sheetId="2" r:id="rId6"/>
    <sheet state="visible" name="Identificação do projeto" sheetId="3" r:id="rId7"/>
    <sheet state="visible" name="Estrutura de quebra de trabalho" sheetId="4" r:id="rId8"/>
    <sheet state="visible" name="Entregas e custos previstos" sheetId="5" r:id="rId9"/>
    <sheet state="visible" name="Cronograma" sheetId="6" r:id="rId10"/>
    <sheet state="visible" name="Monitoramento" sheetId="7" r:id="rId11"/>
    <sheet state="visible" name="Termo de Encerramento" sheetId="8" r:id="rId12"/>
  </sheets>
  <definedNames/>
  <calcPr/>
</workbook>
</file>

<file path=xl/sharedStrings.xml><?xml version="1.0" encoding="utf-8"?>
<sst xmlns="http://schemas.openxmlformats.org/spreadsheetml/2006/main" count="342" uniqueCount="231">
  <si>
    <t xml:space="preserve">CRONOGRAMA PORTFÓLIO DA 6ª EDIÇÃO DO PLANO DE COMANDO </t>
  </si>
  <si>
    <r>
      <rPr>
        <rFont val="Play"/>
        <b/>
        <color theme="1"/>
        <sz val="18.0"/>
      </rPr>
      <t xml:space="preserve">Aba: </t>
    </r>
    <r>
      <rPr>
        <rFont val="Play"/>
        <color theme="1"/>
        <sz val="18.0"/>
      </rPr>
      <t xml:space="preserve">Identificação do projeto </t>
    </r>
  </si>
  <si>
    <r>
      <rPr>
        <rFont val="Arial"/>
        <b/>
        <color theme="1"/>
        <sz val="18.0"/>
      </rPr>
      <t xml:space="preserve">Aba: </t>
    </r>
    <r>
      <rPr>
        <rFont val="Arial"/>
        <color theme="1"/>
        <sz val="18.0"/>
      </rPr>
      <t>Estrutura de quebra de trabalho do projeto (EAP)</t>
    </r>
  </si>
  <si>
    <r>
      <rPr>
        <rFont val="Play"/>
        <b/>
        <color rgb="FF1F1F1F"/>
        <sz val="13.0"/>
      </rPr>
      <t xml:space="preserve">Cabeçalho: </t>
    </r>
    <r>
      <rPr>
        <rFont val="Play"/>
        <color rgb="FF1F1F1F"/>
        <sz val="13.0"/>
      </rPr>
      <t xml:space="preserve">Preencher com os dados referentes ao projeto
</t>
    </r>
    <r>
      <rPr>
        <rFont val="Play"/>
        <b/>
        <color rgb="FF1F1F1F"/>
        <sz val="13.0"/>
      </rPr>
      <t>Equipe do projeto:</t>
    </r>
    <r>
      <rPr>
        <rFont val="Play"/>
        <color rgb="FF1F1F1F"/>
        <sz val="13.0"/>
      </rPr>
      <t xml:space="preserve"> Preencher com o nome dos membros que trabalharão no projeto
</t>
    </r>
    <r>
      <rPr>
        <rFont val="Play"/>
        <b/>
        <color rgb="FF1F1F1F"/>
        <sz val="13.0"/>
      </rPr>
      <t>Situação atual, Stakeholders e Justificativa do projeto:</t>
    </r>
    <r>
      <rPr>
        <rFont val="Play"/>
        <color rgb="FF1F1F1F"/>
        <sz val="13.0"/>
      </rPr>
      <t xml:space="preserve"> Escrita livre com uma breve descrição dos motivos que tornam o projeto relevante. Importante destacar se ja existir alguma iniciativa institucional, quem são os setores internos e externos que podem ser beneficiados ou afetados pelo projeto e também o que se espera de positivo ao final do projeto.
</t>
    </r>
    <r>
      <rPr>
        <rFont val="Play"/>
        <b/>
        <color rgb="FF1F1F1F"/>
        <sz val="13.0"/>
      </rPr>
      <t>Objetivos do Projeto:</t>
    </r>
    <r>
      <rPr>
        <rFont val="Play"/>
        <color rgb="FF1F1F1F"/>
        <sz val="13.0"/>
      </rPr>
      <t xml:space="preserve"> O objetivo geral deve apontar qual a principal finalidade do projeto. Sugere-se que seja iniciado com um verbo no infinitivo. 
Os objetivos específicos são os desdobramentos do objetivo principal. Representam o "como", as etapas que serão cumpridas para o atingimento do objetivo geral.
</t>
    </r>
    <r>
      <rPr>
        <rFont val="Play"/>
        <i/>
        <color rgb="FF1F1F1F"/>
        <sz val="13.0"/>
      </rPr>
      <t xml:space="preserve">Perguntas que ajudam a formular o objetivo especifico, por exemplo: Qual a situação real que queremos ver após o término do projeto? Qual a mudança especifica que o projeto pretende alcançar?
</t>
    </r>
    <r>
      <rPr>
        <rFont val="Play"/>
        <color rgb="FF1F1F1F"/>
        <sz val="13.0"/>
      </rPr>
      <t>Os objetvos complementares são entregas e ações relevantes, mas que se não cumpridas, não inviabilizam o cumprimento do objetivo principal.</t>
    </r>
    <r>
      <rPr>
        <rFont val="Play"/>
        <i/>
        <color rgb="FF1F1F1F"/>
        <sz val="13.0"/>
      </rPr>
      <t xml:space="preserve">
</t>
    </r>
    <r>
      <rPr>
        <rFont val="Play"/>
        <b/>
        <color rgb="FF1F1F1F"/>
        <sz val="13.0"/>
      </rPr>
      <t>Riscos do Projeto (opcional)</t>
    </r>
    <r>
      <rPr>
        <rFont val="Play"/>
        <color rgb="FF1F1F1F"/>
        <sz val="13.0"/>
      </rPr>
      <t>: Registrar os principais eventos ou condições incertas que, se ocorrerem, poderão afetar de forma positiva ou negativa o andamento do projeto. O preenchimento deve considerar tanto riscos internos (recursos, prazos, comunicação, dependências) quanto externos (fornecedores, parceiros, mudanças institucionais ou ambientais).</t>
    </r>
  </si>
  <si>
    <t>Data de Referência</t>
  </si>
  <si>
    <t>Monitoramento Mensal 
[AEST e Gerentes de Projeto]</t>
  </si>
  <si>
    <r>
      <rPr>
        <rFont val="Play"/>
        <color rgb="FF1F1F1F"/>
        <sz val="13.0"/>
        <u/>
      </rPr>
      <t xml:space="preserve">
</t>
    </r>
    <r>
      <rPr>
        <rFont val="Play"/>
        <b/>
        <color rgb="FF000000"/>
        <sz val="13.0"/>
      </rPr>
      <t>Cabeçalho:</t>
    </r>
    <r>
      <rPr>
        <rFont val="Play"/>
        <color rgb="FF000000"/>
        <sz val="13.0"/>
      </rPr>
      <t xml:space="preserve"> Preenchido automaticamente 
</t>
    </r>
    <r>
      <rPr>
        <rFont val="Play"/>
        <b/>
        <color rgb="FF000000"/>
        <sz val="13.0"/>
      </rPr>
      <t>Estrutura de quebra de trabalho do projeto:</t>
    </r>
    <r>
      <rPr>
        <rFont val="Play"/>
        <color rgb="FF000000"/>
        <sz val="13.0"/>
      </rPr>
      <t xml:space="preserve">  Subdivisão das entregas e do trabalho do projeto em componentes menores e mais facilmente gerenciáveis. Pode ser confeccionado diretamente na planilha ou confeccionar em outro programa e inserir a imagem da EAP na aba da planilha.
Artigos sobre como elaborar uma EAP:
</t>
    </r>
    <r>
      <rPr>
        <rFont val="Play"/>
        <color rgb="FF1155CC"/>
        <sz val="13.0"/>
        <u/>
      </rPr>
      <t>https://escritoriodeprojetos.com.br/eap/</t>
    </r>
    <r>
      <rPr>
        <rFont val="Play"/>
        <color rgb="FF000000"/>
        <sz val="13.0"/>
      </rPr>
      <t xml:space="preserve">; </t>
    </r>
    <r>
      <rPr>
        <rFont val="Play"/>
        <color rgb="FF1155CC"/>
        <sz val="13.0"/>
        <u/>
      </rPr>
      <t>https://repositorio.enap.gov.br/bitstream/1/1107/1/GerenciaDeProjeos_modulo_5_final_.pdf</t>
    </r>
    <r>
      <rPr>
        <rFont val="Play"/>
        <color rgb="FF000000"/>
        <sz val="13.0"/>
      </rPr>
      <t xml:space="preserve">
Vídeos sobre como elaborar uma EAP:
</t>
    </r>
    <r>
      <rPr>
        <rFont val="Play"/>
        <color rgb="FF1155CC"/>
        <sz val="13.0"/>
        <u/>
      </rPr>
      <t>https://www.youtube.com/watch?v=WcNE8p4R0-g</t>
    </r>
    <r>
      <rPr>
        <rFont val="Play"/>
        <color rgb="FF000000"/>
        <sz val="13.0"/>
      </rPr>
      <t xml:space="preserve">;
</t>
    </r>
    <r>
      <rPr>
        <rFont val="Play"/>
        <color rgb="FF1155CC"/>
        <sz val="13.0"/>
        <u/>
      </rPr>
      <t>https://www.youtube.com/watch?v=Cpffygavkx4</t>
    </r>
    <r>
      <rPr>
        <rFont val="Play"/>
        <color rgb="FF000000"/>
        <sz val="13.0"/>
      </rPr>
      <t xml:space="preserve">
*Os artigos e vídeos contém exemplos de EAP</t>
    </r>
  </si>
  <si>
    <t>Monitoramento Bimestral 
[Gerente de Portfólio e de Eixo]</t>
  </si>
  <si>
    <t>Finalidade do Monitoramento</t>
  </si>
  <si>
    <t>-</t>
  </si>
  <si>
    <t>Formalizações, capacitações e ajustes Plano de Gerenciamento</t>
  </si>
  <si>
    <t>1º monitoramento</t>
  </si>
  <si>
    <t>Acompanhamento das entregas, ajuste das rota e ritmo de trabalho</t>
  </si>
  <si>
    <t>2º monitoramento</t>
  </si>
  <si>
    <t>1ªReunião de Monitoramento Bimestral - CHEM</t>
  </si>
  <si>
    <t>Acompanhamento das entregas, ajuste das rota e ritmo de trabalho, com apresentação dos Gerentes de Eixo para o Gerente de Portfólio.</t>
  </si>
  <si>
    <t>3º monitoramento</t>
  </si>
  <si>
    <r>
      <rPr>
        <rFont val="Play"/>
        <b/>
        <color theme="1"/>
        <sz val="18.0"/>
      </rPr>
      <t xml:space="preserve">Aba: </t>
    </r>
    <r>
      <rPr>
        <rFont val="Play"/>
        <color theme="1"/>
        <sz val="18.0"/>
      </rPr>
      <t>Entregas e Custos Previstos</t>
    </r>
  </si>
  <si>
    <t>4º monitoramento</t>
  </si>
  <si>
    <t>2ªReunião de Monitoramento Bimestral - CHEM</t>
  </si>
  <si>
    <r>
      <rPr>
        <rFont val="Play"/>
        <b/>
        <color theme="1"/>
        <sz val="18.0"/>
      </rPr>
      <t xml:space="preserve">Aba: </t>
    </r>
    <r>
      <rPr>
        <rFont val="Play"/>
        <color theme="1"/>
        <sz val="18.0"/>
      </rPr>
      <t>Cronograma</t>
    </r>
  </si>
  <si>
    <t>5º monitoramento</t>
  </si>
  <si>
    <r>
      <rPr>
        <rFont val="Play"/>
        <color rgb="FF1F1F1F"/>
        <sz val="13.0"/>
      </rPr>
      <t xml:space="preserve">
</t>
    </r>
    <r>
      <rPr>
        <rFont val="Play"/>
        <b/>
        <color rgb="FF1F1F1F"/>
        <sz val="13.0"/>
      </rPr>
      <t xml:space="preserve">Cabeçalho: </t>
    </r>
    <r>
      <rPr>
        <rFont val="Play"/>
        <color rgb="FF1F1F1F"/>
        <sz val="13.0"/>
      </rPr>
      <t xml:space="preserve">Preenchido automaticamente 
</t>
    </r>
    <r>
      <rPr>
        <rFont val="Play"/>
        <b/>
        <color rgb="FF1F1F1F"/>
        <sz val="13.0"/>
      </rPr>
      <t xml:space="preserve">Entregas previstas:
Principal entrega: </t>
    </r>
    <r>
      <rPr>
        <rFont val="Play"/>
        <color rgb="FF1F1F1F"/>
        <sz val="13.0"/>
      </rPr>
      <t xml:space="preserve">Devem apresentar, de forma clara a PRINCIPAL ENTREGA do projeto (aquela que for considerada a mais relevante/que trará maiores benefícios).
</t>
    </r>
    <r>
      <rPr>
        <rFont val="Play"/>
        <b/>
        <color rgb="FF1F1F1F"/>
        <sz val="13.0"/>
      </rPr>
      <t>Entregas complementares</t>
    </r>
    <r>
      <rPr>
        <rFont val="Play"/>
        <color rgb="FF1F1F1F"/>
        <sz val="13.0"/>
      </rPr>
      <t xml:space="preserve">: Apresentar as outras entregas previstas para o projeto, que complementam a entrega principal.
Cada linha deve ser preenchida com uma das entregas parciais do projeto. A Estrutura de Quebra de Trabalho do projeto pode ser um ponto de partida para a definição das entregas previstas.
</t>
    </r>
    <r>
      <rPr>
        <rFont val="Play"/>
        <b/>
        <color rgb="FF1F1F1F"/>
        <sz val="13.0"/>
      </rPr>
      <t>Custos Variáveis:</t>
    </r>
    <r>
      <rPr>
        <rFont val="Play"/>
        <color rgb="FF1F1F1F"/>
        <sz val="13.0"/>
      </rPr>
      <t xml:space="preserve"> Há três opções para o status de custo: 
"Sem custos" - os únicos custos são mão de obra do CBMMG e utilização de equipamentos já disponíveis na corporação 
"Captado" - estão previstos custos que já se encontram à disposição do projeto, seja via captação, doação ou orçamento direto do CBMMG;
"Não captado" - para a realização do projeto existem custos que ainda não estão à disposição do projeto, sendo necessário realizar a captação destes.
</t>
    </r>
  </si>
  <si>
    <t>6º monitoramento</t>
  </si>
  <si>
    <t>3ªReunião de Monitoramento Bimestral - CHEM</t>
  </si>
  <si>
    <t>7º monitoramento</t>
  </si>
  <si>
    <r>
      <rPr>
        <rFont val="Play"/>
        <color rgb="FF1F1F1F"/>
        <sz val="13.0"/>
      </rPr>
      <t xml:space="preserve">
</t>
    </r>
    <r>
      <rPr>
        <rFont val="Play"/>
        <b/>
        <color rgb="FF1F1F1F"/>
        <sz val="13.0"/>
      </rPr>
      <t xml:space="preserve">Cabeçalho: </t>
    </r>
    <r>
      <rPr>
        <rFont val="Play"/>
        <color rgb="FF1F1F1F"/>
        <sz val="13.0"/>
      </rPr>
      <t xml:space="preserve">Preenchido automaticamente 
</t>
    </r>
    <r>
      <rPr>
        <rFont val="Play"/>
        <b/>
        <color rgb="FF1F1F1F"/>
        <sz val="13.0"/>
      </rPr>
      <t xml:space="preserve">Cronograma: </t>
    </r>
    <r>
      <rPr>
        <rFont val="Play"/>
        <color rgb="FF1F1F1F"/>
        <sz val="13.0"/>
      </rPr>
      <t xml:space="preserve">A tabela do cronograma é dividida em 6 colunas. Com exceção da coluna "Status", as demais deverão ser preenchidas no início (abertura do projeto). A coluna "Status" será preenchida durante as reuniões de monitoramento do projeto.
</t>
    </r>
    <r>
      <rPr>
        <rFont val="Play"/>
        <b/>
        <color rgb="FF1F1F1F"/>
        <sz val="13.0"/>
      </rPr>
      <t>Atividades</t>
    </r>
    <r>
      <rPr>
        <rFont val="Play"/>
        <color rgb="FF1F1F1F"/>
        <sz val="13.0"/>
      </rPr>
      <t xml:space="preserve"> - Refere-se às divisões metodológicas do percurso do projeto. As principais entregas previstas e a EAP podem servir de orientação para a elaboração das atividades. Equivale à coluna "O Quê" em um plano de ação 5W2H.
- Identifique e insira na planilha todas as etapas antes de passar para a próxima coluna.
</t>
    </r>
    <r>
      <rPr>
        <rFont val="Play"/>
        <b/>
        <color rgb="FF1F1F1F"/>
        <sz val="13.0"/>
      </rPr>
      <t>Previsão de conclusão</t>
    </r>
    <r>
      <rPr>
        <rFont val="Play"/>
        <color rgb="FF1F1F1F"/>
        <sz val="13.0"/>
      </rPr>
      <t xml:space="preserve"> - A data prevista para a </t>
    </r>
    <r>
      <rPr>
        <rFont val="Play"/>
        <color rgb="FF1F1F1F"/>
        <sz val="13.0"/>
        <u/>
      </rPr>
      <t>finalização</t>
    </r>
    <r>
      <rPr>
        <rFont val="Play"/>
        <color rgb="FF1F1F1F"/>
        <sz val="13.0"/>
      </rPr>
      <t xml:space="preserve"> da atividade proposta. É o prazo limite da tarefa.
</t>
    </r>
    <r>
      <rPr>
        <rFont val="Play"/>
        <b/>
        <color rgb="FF1F1F1F"/>
        <sz val="13.0"/>
      </rPr>
      <t>Percentual correspondente do projeto</t>
    </r>
    <r>
      <rPr>
        <rFont val="Play"/>
        <color rgb="FF1F1F1F"/>
        <sz val="13.0"/>
      </rPr>
      <t xml:space="preserve"> - Neste momento será necessário dimensionar o esforço para cumprir cada etapa. Essa coluna reflete a carga de trabalho de uma atividade em relação ao trabalho total. </t>
    </r>
    <r>
      <rPr>
        <rFont val="Play"/>
        <b/>
        <color rgb="FF1F1F1F"/>
        <sz val="13.0"/>
      </rPr>
      <t>A soma de todas as atividades deverá ser igual a 100%.
Responsável e Observações</t>
    </r>
    <r>
      <rPr>
        <rFont val="Play"/>
        <color rgb="FF1F1F1F"/>
        <sz val="13.0"/>
      </rPr>
      <t xml:space="preserve"> </t>
    </r>
    <r>
      <rPr>
        <rFont val="Play"/>
        <color rgb="FF000000"/>
        <sz val="13.0"/>
      </rPr>
      <t>- Colunas opcionais, que auxiliam o gerente de projeto a delegar e controlar a execução das atividades do projeto</t>
    </r>
    <r>
      <rPr>
        <rFont val="Play"/>
        <b/>
        <color rgb="FF1F1F1F"/>
        <sz val="13.0"/>
      </rPr>
      <t xml:space="preserve">
Essa aba irá orientar o monitoramento e acompanhamento do projeto.
</t>
    </r>
    <r>
      <rPr>
        <rFont val="Play"/>
        <i/>
        <color rgb="FF1F1F1F"/>
        <sz val="13.0"/>
      </rPr>
      <t xml:space="preserve">Material sobre como elaborar um cronograma:
</t>
    </r>
    <r>
      <rPr>
        <rFont val="Play"/>
        <color rgb="FF1155CC"/>
        <sz val="13.0"/>
        <u/>
      </rPr>
      <t>https://www.youtube.com/watch?v=1geI5bmv_8A</t>
    </r>
    <r>
      <rPr>
        <rFont val="Play"/>
        <color rgb="FF1F1F1F"/>
        <sz val="13.0"/>
      </rPr>
      <t xml:space="preserve">
</t>
    </r>
    <r>
      <rPr>
        <rFont val="Play"/>
        <color rgb="FF1155CC"/>
        <sz val="13.0"/>
        <u/>
      </rPr>
      <t>https://artia.com/blog/cronograma-de-projetos/</t>
    </r>
    <r>
      <rPr>
        <rFont val="Play"/>
        <color rgb="FF1F1F1F"/>
        <sz val="13.0"/>
      </rPr>
      <t xml:space="preserve">
</t>
    </r>
    <r>
      <rPr>
        <rFont val="Play"/>
        <color rgb="FF1155CC"/>
        <sz val="13.0"/>
        <u/>
      </rPr>
      <t>https://www.lucidchart.com/blog/pt/8-passos-para-criar-um-cronograma-de-gerenciamento-de-projetos</t>
    </r>
    <r>
      <rPr>
        <rFont val="Play"/>
        <color rgb="FF1F1F1F"/>
        <sz val="13.0"/>
      </rPr>
      <t xml:space="preserve">
</t>
    </r>
    <r>
      <rPr>
        <rFont val="Play"/>
        <color rgb="FF1155CC"/>
        <sz val="13.0"/>
        <u/>
      </rPr>
      <t>https://monday.com/blog/pt/gestao-de-projetos-pt/cronograma-de-projeto-a-maneira-mais-simples-de-criar-um/</t>
    </r>
    <r>
      <rPr>
        <rFont val="Play"/>
        <color rgb="FF1F1F1F"/>
        <sz val="13.0"/>
      </rPr>
      <t xml:space="preserve">
</t>
    </r>
    <r>
      <rPr>
        <rFont val="Play"/>
        <b/>
        <color rgb="FF1F1F1F"/>
        <sz val="13.0"/>
      </rPr>
      <t xml:space="preserve">
</t>
    </r>
  </si>
  <si>
    <t>Gerente do portfólio:</t>
  </si>
  <si>
    <t>8º monitoramento</t>
  </si>
  <si>
    <t>4ªReunião de Monitoramento Bimestral - CHEM</t>
  </si>
  <si>
    <t>Coronel BM Moisés Magalhães de Sousa</t>
  </si>
  <si>
    <t>9º monitoramento</t>
  </si>
  <si>
    <t>Programa:</t>
  </si>
  <si>
    <t>Aperfeiçoamento Tecnológico do CBMMG</t>
  </si>
  <si>
    <t>10º monitoramento</t>
  </si>
  <si>
    <t>5ªReunião de Monitoramento Bimestral - CHEM</t>
  </si>
  <si>
    <t>11º monitoramento</t>
  </si>
  <si>
    <t>Eixo:</t>
  </si>
  <si>
    <t>Inovação e Transformação Digital</t>
  </si>
  <si>
    <t>Preenchimento dos termos de encerramento</t>
  </si>
  <si>
    <t>Projeto:</t>
  </si>
  <si>
    <t>Modernização dos Sistema de Informação do CBMMG - GT's Integrados</t>
  </si>
  <si>
    <t>12º monitoramento</t>
  </si>
  <si>
    <t>6ªReunião de Monitoramento Bimestral - CHEM</t>
  </si>
  <si>
    <t>Encerramento do ciclo e consolidação dos resultados</t>
  </si>
  <si>
    <t>Envio do Termo de Encerramento do Projeto</t>
  </si>
  <si>
    <t>Subprojeto:</t>
  </si>
  <si>
    <t>Base Integrada de Segurança Pública - BISP</t>
  </si>
  <si>
    <t>DOCUMENTAÇÃO DE REFERÊNCIA</t>
  </si>
  <si>
    <t>Gerente de Eixo:</t>
  </si>
  <si>
    <t>ORDEM</t>
  </si>
  <si>
    <t>Coronel BM Luiz Frederico Barreto Pascoal</t>
  </si>
  <si>
    <t>Referência</t>
  </si>
  <si>
    <t>Gerente de Projeto:</t>
  </si>
  <si>
    <t>6ª Edição do  Plano de Comando</t>
  </si>
  <si>
    <r>
      <rPr>
        <rFont val="Play"/>
        <b/>
        <color theme="1"/>
        <sz val="18.0"/>
      </rPr>
      <t xml:space="preserve">Aba: </t>
    </r>
    <r>
      <rPr>
        <rFont val="Play"/>
        <color theme="1"/>
        <sz val="18.0"/>
      </rPr>
      <t>Monitoramento</t>
    </r>
  </si>
  <si>
    <t>Tenente-coronel BM Paulo Afonso Montezano Crispim</t>
  </si>
  <si>
    <t>Diretriz nº 06</t>
  </si>
  <si>
    <r>
      <rPr>
        <rFont val="Play"/>
        <b/>
        <color theme="1"/>
        <sz val="18.0"/>
      </rPr>
      <t>Aba:</t>
    </r>
    <r>
      <rPr>
        <rFont val="Play"/>
        <color theme="1"/>
        <sz val="18.0"/>
      </rPr>
      <t xml:space="preserve"> Termo de Encerramento</t>
    </r>
  </si>
  <si>
    <r>
      <rPr>
        <rFont val="Play"/>
        <color rgb="FF1F1F1F"/>
        <sz val="13.0"/>
      </rPr>
      <t xml:space="preserve">
</t>
    </r>
    <r>
      <rPr>
        <rFont val="Play"/>
        <b/>
        <color rgb="FF1F1F1F"/>
        <sz val="13.0"/>
      </rPr>
      <t xml:space="preserve">Cabeçalho: </t>
    </r>
    <r>
      <rPr>
        <rFont val="Play"/>
        <color rgb="FF1F1F1F"/>
        <sz val="13.0"/>
      </rPr>
      <t xml:space="preserve">Preenchido automaticamente 
</t>
    </r>
    <r>
      <rPr>
        <rFont val="Play"/>
        <b/>
        <color rgb="FF1F1F1F"/>
        <sz val="13.0"/>
      </rPr>
      <t>Gráfico Real x Planejado:</t>
    </r>
    <r>
      <rPr>
        <rFont val="Play"/>
        <color rgb="FF1F1F1F"/>
        <sz val="13.0"/>
      </rPr>
      <t xml:space="preserve"> Preenchido automaticamente durante o monitoramento - indicador objetivo
</t>
    </r>
    <r>
      <rPr>
        <rFont val="Play"/>
        <b/>
        <color rgb="FF1F1F1F"/>
        <sz val="13.0"/>
      </rPr>
      <t xml:space="preserve">Indicador de evolução do projeto: </t>
    </r>
    <r>
      <rPr>
        <rFont val="Play"/>
        <color rgb="FF1F1F1F"/>
        <sz val="13.0"/>
      </rPr>
      <t xml:space="preserve">Preenchido automaticamente durante o monitoramento - indicador objetivo
</t>
    </r>
    <r>
      <rPr>
        <rFont val="Play"/>
        <b/>
        <color rgb="FF1F1F1F"/>
        <sz val="13.0"/>
      </rPr>
      <t xml:space="preserve">Progresso do projeto: </t>
    </r>
    <r>
      <rPr>
        <rFont val="Play"/>
        <color rgb="FF1F1F1F"/>
        <sz val="13.0"/>
      </rPr>
      <t xml:space="preserve">Preenchido automaticamente durante o monitoramento - indicador objetivo
</t>
    </r>
    <r>
      <rPr>
        <rFont val="Play"/>
        <b/>
        <color rgb="FF1F1F1F"/>
        <sz val="13.0"/>
      </rPr>
      <t>Atas das reuniões de monitoramento:</t>
    </r>
    <r>
      <rPr>
        <rFont val="Play"/>
        <color rgb="FF1F1F1F"/>
        <sz val="13.0"/>
      </rPr>
      <t xml:space="preserve"> Serão preenchidas juntamente com a DAI durante as reuniões de monitoramento. Trata-se de um breve resumo sobre o andamento do projeto no período compreendido entre a última reunião e aquele momento. Serve como indicador subjetivo do progresso do projeto e como memória para acompanhamento do gerente do portfólio. 
</t>
    </r>
    <r>
      <rPr>
        <rFont val="Play"/>
        <b/>
        <color rgb="FF1F1F1F"/>
        <sz val="13.0"/>
      </rPr>
      <t>Situação atual do projeto:</t>
    </r>
    <r>
      <rPr>
        <rFont val="Play"/>
        <color rgb="FF1F1F1F"/>
        <sz val="13.0"/>
      </rPr>
      <t xml:space="preserve"> Preenchido automaticamento com a ata da última reunião realizada
</t>
    </r>
  </si>
  <si>
    <r>
      <rPr>
        <rFont val="Play"/>
        <color rgb="FF1F1F1F"/>
        <sz val="13.0"/>
      </rPr>
      <t xml:space="preserve">
</t>
    </r>
    <r>
      <rPr>
        <rFont val="Play"/>
        <b/>
        <color rgb="FF1F1F1F"/>
        <sz val="13.0"/>
      </rPr>
      <t xml:space="preserve">Cabeçalho: </t>
    </r>
    <r>
      <rPr>
        <rFont val="Play"/>
        <color rgb="FF1F1F1F"/>
        <sz val="13.0"/>
      </rPr>
      <t xml:space="preserve">Preenchido automaticamente 
</t>
    </r>
    <r>
      <rPr>
        <rFont val="Play"/>
        <b/>
        <color rgb="FF980000"/>
        <sz val="13.0"/>
      </rPr>
      <t xml:space="preserve">
</t>
    </r>
    <r>
      <rPr>
        <rFont val="Play"/>
        <b/>
        <color rgb="FF1F1F1F"/>
        <sz val="13.0"/>
      </rPr>
      <t xml:space="preserve">Objetivo do Projeto: </t>
    </r>
    <r>
      <rPr>
        <rFont val="Play"/>
        <color rgb="FF1F1F1F"/>
        <sz val="13.0"/>
      </rPr>
      <t xml:space="preserve">Preenchido automaticamente da aba "Identificação do proejeto"
</t>
    </r>
    <r>
      <rPr>
        <rFont val="Play"/>
        <b/>
        <color rgb="FF1F1F1F"/>
        <sz val="13.0"/>
      </rPr>
      <t xml:space="preserve">Metas e Entregas Previstas: </t>
    </r>
    <r>
      <rPr>
        <rFont val="Play"/>
        <color rgb="FF1F1F1F"/>
        <sz val="13.0"/>
      </rPr>
      <t xml:space="preserve">Preenchido automaticamente a partir da aba “Metas e Entregas Previstas”.
</t>
    </r>
    <r>
      <rPr>
        <rFont val="Play"/>
        <b/>
        <color rgb="FF1F1F1F"/>
        <sz val="13.0"/>
      </rPr>
      <t xml:space="preserve">Adaptações no Escopo Inicial do Projeto: </t>
    </r>
    <r>
      <rPr>
        <rFont val="Play"/>
        <color rgb="FF1F1F1F"/>
        <sz val="13.0"/>
      </rPr>
      <t xml:space="preserve">Registrar qualquer modificação significativa em relação ao planejamento original. Exemplo: inclusão ou exclusão de entregas, alteração de prazos ou de recursos.
</t>
    </r>
    <r>
      <rPr>
        <rFont val="Play"/>
        <b/>
        <color rgb="FF1F1F1F"/>
        <sz val="13.0"/>
      </rPr>
      <t xml:space="preserve">Status do Projeto: </t>
    </r>
    <r>
      <rPr>
        <rFont val="Play"/>
        <color rgb="FF1F1F1F"/>
        <sz val="13.0"/>
      </rPr>
      <t xml:space="preserve">Selecionar a situação final do projeto:  concluído;  não concluído ou cancelado. Utilizar o campo “Observação” para contextualizar o status ou destacar pontos relevantes do encerramento.
</t>
    </r>
    <r>
      <rPr>
        <rFont val="Play"/>
        <b/>
        <color rgb="FF1F1F1F"/>
        <sz val="13.0"/>
      </rPr>
      <t xml:space="preserve">Produtos: </t>
    </r>
    <r>
      <rPr>
        <rFont val="Play"/>
        <color rgb="FF1F1F1F"/>
        <sz val="13.0"/>
      </rPr>
      <t xml:space="preserve">Relacionar a principal entrega e eventuais entregas complementares do projeto, anexando ou referenciando documentos comprobatórios (relatórios, registros fotográficos, certificados, pareceres, etc.).
</t>
    </r>
    <r>
      <rPr>
        <rFont val="Play"/>
        <b/>
        <color rgb="FF1F1F1F"/>
        <sz val="13.0"/>
      </rPr>
      <t xml:space="preserve">Principais Problemas e Entraves: </t>
    </r>
    <r>
      <rPr>
        <rFont val="Play"/>
        <color rgb="FF1F1F1F"/>
        <sz val="13.0"/>
      </rPr>
      <t xml:space="preserve">Descrever as dificuldades enfrentadas durante a execução (ex.: limitações de recursos, comunicação, prazos, parcerias) e o impacto causado no desenvolvimento das atividades.
</t>
    </r>
    <r>
      <rPr>
        <rFont val="Play"/>
        <b/>
        <color rgb="FF1F1F1F"/>
        <sz val="13.0"/>
      </rPr>
      <t xml:space="preserve">Continuidade: </t>
    </r>
    <r>
      <rPr>
        <rFont val="Play"/>
        <color rgb="FF1F1F1F"/>
        <sz val="13.0"/>
      </rPr>
      <t xml:space="preserve">Listar as tarefas, metas ou atividades não concluídas, indicando o planejamento para conclusão e o tempo estimado. Essa informação facilita o acompanhamento pela equipe de portfólio ou pelo gerente de eixo no ciclo seguinte.
</t>
    </r>
    <r>
      <rPr>
        <rFont val="Play"/>
        <b/>
        <color rgb="FF1F1F1F"/>
        <sz val="13.0"/>
      </rPr>
      <t xml:space="preserve">Considerações do Gerente do Projeto – Lições Aprendidas: </t>
    </r>
    <r>
      <rPr>
        <rFont val="Play"/>
        <color rgb="FF1F1F1F"/>
        <sz val="13.0"/>
      </rPr>
      <t xml:space="preserve">Registrar as principais experiências positivas e negativas, destacando recomendações para futuros projetos. 
</t>
    </r>
    <r>
      <rPr>
        <rFont val="Play"/>
        <b/>
        <color rgb="FF1F1F1F"/>
        <sz val="13.0"/>
      </rPr>
      <t xml:space="preserve">Observações: </t>
    </r>
    <r>
      <rPr>
        <rFont val="Play"/>
        <color rgb="FF1F1F1F"/>
        <sz val="13.0"/>
      </rPr>
      <t>Espaço livre para observações adicionais do gerente do projeto, como sugestões de melhoria, registros complementares ou menções de reconhecimento à equipe envolvida.</t>
    </r>
    <r>
      <rPr>
        <rFont val="Play"/>
        <color rgb="FFFF0000"/>
        <sz val="13.0"/>
      </rPr>
      <t xml:space="preserve">
</t>
    </r>
  </si>
  <si>
    <t xml:space="preserve">ESTRUTURA ANALÍTICA DO PROJETO
(Estrutura de quebra de trabalho do projeto) </t>
  </si>
  <si>
    <t>Situação atual, Stakolders e Justificativa do projeto:</t>
  </si>
  <si>
    <t>SITUAÇÃO ATUAL
A Base Integrada de Segurança Pública (BISP) é o data lake corporativo dos sistemas das Forças de Segurança Pública (SISP), operado pela SEJUSP por meio da PRODEMGE. O CBMMG já possui integrados à BISP os dados do CAD, do CAD ESCALA (ainda utilizado pela AAS), do REDS e do Módulo de Licenciamento do Infoscip. O Módulo de Fiscalização do Infoscip foi integrado na Sprint 56 (entrega em 07/11/2025), com criação das views para a DAT. A etapa seguinte — inclusão dos dados de Recursos Humanos (SIGP), abrangendo os 17 universos de RH — encontra-se paralisada por depender da aquisição de ferramenta de terceiros (IBM "DVM") capaz de ler os dados diretamente do Mainframe, sem importação via FTP, com previsão de aquisição para março/2026 e possível custo a ser rateado ao CBMMG.
STAKEHOLDERS
Internos: SDTS, DAT, DRH, CINSP, EMBM/2 e AAS. Externos: SEJUSP (Observatório / Superintendência de Integração da Segurança Pública), PRODEMGE, PMMG e PCMG.
JUSTIFICATIVA
A consolidação dos dados do CBMMG em ambiente corporativo e seguro viabiliza o uso de inteligência de dados (painéis, indicadores e relatórios) e a tomada de decisão baseada em evidências. A integração do Infoscip Fiscalização é condição indispensável para a manutenção da série histórica do ISCIP, cujo parâmetro "F" passa a ser obtido exclusivamente desse módulo (antes oriundo do REDS). A integração dos dados de RH proporcionará salto qualitativo na gestão de pessoal (dimensionamento de efetivo, saúde ocupacional, controle de licenças e análises preditivas de disponibilidade). O acesso à BISP também permite ao CBMMG desenvolver ferramentas secundárias — como os painéis de monitoramento utilizados no período de fortes chuvas em Juiz de Fora —, agregando eficiência, economicidade e transparência ao serviço prestado à sociedade mineira.</t>
  </si>
  <si>
    <t>Time do projeto:</t>
  </si>
  <si>
    <t>Objetivos do Projeto</t>
  </si>
  <si>
    <t>Ord</t>
  </si>
  <si>
    <t>Posto/Graduação</t>
  </si>
  <si>
    <t>Nome</t>
  </si>
  <si>
    <t>Unidade</t>
  </si>
  <si>
    <r>
      <rPr>
        <rFont val="Play"/>
        <b/>
        <color rgb="FF000000"/>
        <sz val="8.0"/>
      </rPr>
      <t>Objetivo Geral</t>
    </r>
    <r>
      <rPr>
        <rFont val="Play"/>
        <color rgb="FF000000"/>
        <sz val="8.0"/>
      </rPr>
      <t xml:space="preserve">
Promover a evolução da Base Integrada de Segurança Pública — BISP, por meio da ampliação da integração de dados estratégicos do CBMMG, contemplando a consolidação das informações do Infoscip Fiscalização e a inclusão progressiva dos dados de Recursos Humanos/SIGP, a fim de fortalecer a governança institucional, subsidiar a tomada de decisão baseada em evidências e ampliar a capacidade de análise, planejamento e gestão operacional e administrativa do Corpo de Bombeiros Militar de Minas Gerais.
</t>
    </r>
    <r>
      <rPr>
        <rFont val="Play"/>
        <b/>
        <color rgb="FF000000"/>
        <sz val="8.0"/>
      </rPr>
      <t>Objetivos Específicos</t>
    </r>
    <r>
      <rPr>
        <rFont val="Play"/>
        <color rgb="FF000000"/>
        <sz val="8.0"/>
      </rPr>
      <t xml:space="preserve">
Consolidar a integração das tabelas do Infoscip Fiscalização na BISP, permitindo a utilização dos dados em painéis, relatórios gerenciais, indicadores estratégicos e análises relacionadas à atividade de fiscalização do SSCIP.
Viabilizar a manutenção da série histórica do Índice de Segurança Contra Incêndio e Pânico — ISCIP, garantindo que o parâmetro “F” seja alimentado a partir dos registros oficiais do Infoscip Fiscalização.
Planejar a inclusão dos dados de Recursos Humanos/SIGP na BISP, contemplando informações como dados pessoais, situação funcional, movimentações, licenças, férias, promoções, cursos, exames e registros disciplinares.
Acompanhar, junto à SEJUSP, PRODEMGE e demais atores envolvidos, a definição da solução tecnológica necessária para extração, tratamento e disponibilização dos dados oriundos do Mainframe/SIGP.
Disponibilizar dados corporativos de RH em ambiente seguro, estruturado e governado, permitindo cruzamentos, análises preditivas e construção de indicadores sobre efetivo, disponibilidade, movimentação e gestão de pessoal.</t>
    </r>
  </si>
  <si>
    <t>Major</t>
  </si>
  <si>
    <t>Fabrício Rocha Xavier</t>
  </si>
  <si>
    <t>SDTS/3</t>
  </si>
  <si>
    <t>Capitão</t>
  </si>
  <si>
    <t>Cleyton</t>
  </si>
  <si>
    <t>SDTS</t>
  </si>
  <si>
    <t>Marco Antônio</t>
  </si>
  <si>
    <t>CINSP</t>
  </si>
  <si>
    <t>Daniel Simon</t>
  </si>
  <si>
    <t>DAT</t>
  </si>
  <si>
    <t>Fabiano</t>
  </si>
  <si>
    <t>1°Tenente</t>
  </si>
  <si>
    <t>Fortes</t>
  </si>
  <si>
    <t>DRH</t>
  </si>
  <si>
    <t>Riscos do Projeto (opcional)</t>
  </si>
  <si>
    <t>Risco</t>
  </si>
  <si>
    <t>Categoria</t>
  </si>
  <si>
    <t>Probabilidade</t>
  </si>
  <si>
    <t>Impacto</t>
  </si>
  <si>
    <t>Severidade</t>
  </si>
  <si>
    <t>Nivel de Risco</t>
  </si>
  <si>
    <t>Tratamento</t>
  </si>
  <si>
    <t>Detalhamento do tratamento</t>
  </si>
  <si>
    <t>Responsável</t>
  </si>
  <si>
    <t>Indefinição da ferramenta de extração dos dados do Mainframe/SIGP</t>
  </si>
  <si>
    <t>Estratégico</t>
  </si>
  <si>
    <t>Risco alto</t>
  </si>
  <si>
    <t>Aceitar o risco</t>
  </si>
  <si>
    <t>Acompanhar definição da solução técnica junto à SEJUSP/PRODEMGE, incluindo alternativa DVM ou solução equivalente.</t>
  </si>
  <si>
    <t>SDTS/DRH/BISP</t>
  </si>
  <si>
    <t>Pacotes de Trabalho</t>
  </si>
  <si>
    <t>Previsão de conclusão</t>
  </si>
  <si>
    <t>Percentual correspondente do projeto</t>
  </si>
  <si>
    <t>Status</t>
  </si>
  <si>
    <t>Custo adicional para aquisição/licenciamento da ferramenta terceira</t>
  </si>
  <si>
    <t>Entregas previstas:</t>
  </si>
  <si>
    <t>Responsável (opcional)</t>
  </si>
  <si>
    <t>Observações</t>
  </si>
  <si>
    <t>Custos</t>
  </si>
  <si>
    <t>Solicitação formal de inclusão do Infoscip Fiscalização e SIGP na BISP</t>
  </si>
  <si>
    <t>Avaliar possibilidade de absorção em contrato existente ou planejamento orçamentário específico.</t>
  </si>
  <si>
    <t>CBMMG/SEJUSP</t>
  </si>
  <si>
    <t>Principal Entrega</t>
  </si>
  <si>
    <t>Necessidade de reestruturação dos dados de RH antes da ingestão</t>
  </si>
  <si>
    <t>Status de custo</t>
  </si>
  <si>
    <t>Concluído</t>
  </si>
  <si>
    <t>Custos do Projeto (R$)</t>
  </si>
  <si>
    <t>Observações (fonte e finalidade)</t>
  </si>
  <si>
    <t>Realizar levantamento dos universos, regras de negócio, chaves de relacionamento e qualidade dos dados do SIGP.</t>
  </si>
  <si>
    <t>DRH/PRODEMGE</t>
  </si>
  <si>
    <t>Atraso na homologação e disponibilização de views para consumo institucional</t>
  </si>
  <si>
    <t>E-mail de 16/09/2025 encaminhado à Gerência da BISP (Maj Rocha), após conversa com oficiais da DRH (Cel Rubens, Ten Fortes, Ten Luíza) e DAT (Cap Simon). Solicitou inclusão das tabelas do Infoscip Fiscalização nos mesmos moldes do Licenciamento, além de manifestar interesse na inclusão dos dados do SIGP.</t>
  </si>
  <si>
    <t>Base Integrada de Segurança Pública (BISP) com os dados estratégicos do CBMMG integrados e disponíveis para inteligência de dados — com destaque para a integração dos dados de Recursos Humanos (SIGP), 17 universos, e respectivas views.</t>
  </si>
  <si>
    <t>Risco moderado</t>
  </si>
  <si>
    <t>Definir marcos de homologação, responsáveis e critérios mínimos de aceite até o final de 2026.</t>
  </si>
  <si>
    <t>NÃO CAPTADO</t>
  </si>
  <si>
    <t>SDTS/BISP</t>
  </si>
  <si>
    <t>Integração do Módulo de Licenciamento do Infoscip à BISP</t>
  </si>
  <si>
    <t>Restrições de acesso e governança por conter dados pessoais e funcionais</t>
  </si>
  <si>
    <t>Ferramenta DVM (IBM) para leitura direta do Mainframe. Aquisição prevista para mar/2026 via SEJUSP; verificar rateio ao CBMMG no contrato geral. Valor ainda não definido.</t>
  </si>
  <si>
    <t>PRODEMGE / DAT</t>
  </si>
  <si>
    <t>Definir perfis de acesso, trilhas de auditoria, finalidade de uso e regras de anonimização quando aplicável.</t>
  </si>
  <si>
    <t>Integração já disponível na base da BISP. Serviu de modelo para a integração subsequente do Módulo de Fiscalização.</t>
  </si>
  <si>
    <t>DRH/SDTS/SEJUSP</t>
  </si>
  <si>
    <t>Entrega(s) complementar(es)</t>
  </si>
  <si>
    <t>SEM ORÇAMENTO</t>
  </si>
  <si>
    <t>Planejamento e execução da ingestão do Infoscip Fiscalização — Sprint 56</t>
  </si>
  <si>
    <t>Mão de obra da equipe técnica do CBMMG e utilização de equipamentos/infraestrutura já disponíveis na corporação.</t>
  </si>
  <si>
    <t>PRODEMGE</t>
  </si>
  <si>
    <t>Conforme e-mail de 08/10/2025 de Júlio César Álvares Maciel (PRODEMGE/BISP): ingestão do Módulo de Fiscalização incluída na Sprint 56, previsão de entrega 07/11/2025. Quanto ao SIGP, informou que ainda estavam verificando junto ao time do SIGP. A integração foi concluída com sucesso e as views para a DAT foram criadas. Parâmetro "F" do ISCIP passa a ser alimentado exclusivamente por este módulo.</t>
  </si>
  <si>
    <t>Módulo de Fiscalização do Infoscip integrado à BISP, com views para a DAT e alimentação do parâmetro "F" do ISCIP (concluído).</t>
  </si>
  <si>
    <t>Verificação da suspensão da integração de dados de RH pela DRH/SEJUSP</t>
  </si>
  <si>
    <t>05/12/2025 — Maj Rocha: Segundo informações da SEJUSP, a implantação dos dados de RH foi suspensa a pedido da DRH por estarem desenvolvendo novas funcionalidades no SIGP. A SDTS discordou da paralisação, entendendo não haver empecilho. Posição: após novas funcionalidades, atualizar a BISP sem suspender o serviço.</t>
  </si>
  <si>
    <t>Integração dos dados de RH (SIGP) viabilizada por meio da ferramenta DVM (leitura direta do Mainframe).</t>
  </si>
  <si>
    <t>Contato com o novo Superintendente do Data Lake — Alexandre Diegues</t>
  </si>
  <si>
    <t>TOTAL</t>
  </si>
  <si>
    <t>Acessos técnicos à BISP concedidos à equipe do CBMMG (certificados digitais e ferramentas de consulta).</t>
  </si>
  <si>
    <t>Painéis de monitoramento, indicadores e relatórios gerenciais a partir dos dados da BISP.</t>
  </si>
  <si>
    <t>19/12/2025 — Levantou-se que o novo Superintendente do Data Lake BISP seria Alexandre Diegues. Contato prévio realizado e reunião agendada para 29/12/2025.
29/12/2025 — Contato realizado com Alexandre Diegues. Aguardando definição de melhor data para reunião e levantamento de requisitos.</t>
  </si>
  <si>
    <t>Manutenção da série histórica do ISCIP.</t>
  </si>
  <si>
    <t>Reunião de avaliação dos dados de RH na BISP — proposta da ferramenta DVM (IBM)</t>
  </si>
  <si>
    <t>SDTS / SEJUSP</t>
  </si>
  <si>
    <t>30/12/2025 — Maj Rocha: Reunião para avaliação da utilização dos dados DRH na BISP. Houve sugestão de aguardar a contratação de nova ferramenta da IBM, denominada "DVM", que possibilitará a leitura direta dos dados do SIGP sem necessidade de importar via FTP. Previsão de aquisição: março/2026. Custo a ser atribuído ao CBMMG; verificar possibilidade de incluir no contrato geral.</t>
  </si>
  <si>
    <t>Inclusão de campo/label de data da última atualização dos dados.</t>
  </si>
  <si>
    <t>Recebimento do cronograma de reuniões SEJUSP (março/2026)</t>
  </si>
  <si>
    <t>16/03/2026 — Sra. Ana Wernek encaminhou cronograma das reuniões de março envolvendo as Forças de Segurança Pública, disponibilizado em planilha compartilhada no SharePoint. Abrange temas: REDS Mobile, BISP, Novo CAD, entre outros.</t>
  </si>
  <si>
    <t>Participação na Reunião da BISP — encaminhamentos estratégicos</t>
  </si>
  <si>
    <t>SDTS / CINSP</t>
  </si>
  <si>
    <t>16/03/2026 — Reunião da BISP. Encaminhamentos:
• Ten Wallace e Sd Bianca sugeriram que BM3 e CEB participem das reuniões da BISP.
• Apontada necessidade de label de data da última atualização dos dados.
• Maj Fabiano (CINSP) indicou Cap Marco Antônio como referência no uso dos dados BISP no CBMMG.
• Cap Cleyton parabenizou inserção dos dados do CAD na BISP — fundamental para painéis de monitoramento nas chuvas de Juiz de Fora.
• Questionado andamento da inserção de dados de RH. Sr. Alexandre Dieguez esclareceu duas questões: (1) necessidade de reestruturação de dados de RH apontada pela PRODEMGE; (2) necessidade de aquisição de ferramentas auxiliares pela SEJUSP para recepção dos dados de RH da PMMG e do CBMMG.
• Sra. Ana Wernek ressaltou importância de acompanhar cronograma de reuniões da SEJUSP.</t>
  </si>
  <si>
    <t>Solicitação de acesso à BISP ao EMBM/2 (Cap Cleyton e Maj Rocha)</t>
  </si>
  <si>
    <t>24/03/2026 — Cap Cleyton: Encaminhada ao EMBM/2 a solicitação de inserção dos nomes do Cap Cleyton e do Maj Rocha para concessão de acesso aos dados da BISP, com finalidade de viabilizar o desenvolvimento de novas ferramentas e análise da estrutura de dados.</t>
  </si>
  <si>
    <t>Autorização de acesso à BISP pelo EMBM/2</t>
  </si>
  <si>
    <t>EMBM/2</t>
  </si>
  <si>
    <t>08/05/2026 — Maj Rocha: Acesso à BISP autorizado.</t>
  </si>
  <si>
    <t>Recebimento de parâmetros, instalação de certificados e testes técnicos</t>
  </si>
  <si>
    <t>26/05/2026 — Cap Cleyton: Recebido via SEI Nº 1400.01.0016266/2026-06 o conjunto de parâmetros para acesso. Instalação de certificados digitais e ferramentas de leitura/consulta realizada. Fase de testes técnicos obteve êxito.</t>
  </si>
  <si>
    <t>Verificação das bases disponíveis na BISP e reforço da continuidade do projeto RH</t>
  </si>
  <si>
    <t>26/05/2026 — Cap Cleyton: Constatou-se que existem na BISP, relacionadas ao CBMMG: Banco de dados do CAD; Banco de dados do CAD ESCALA (AAS); Banco de dados do REDS. Dados de RH não disponíveis — projeto paralisado. Reforçada junto à Sra. Ana Wernek a importância da continuidade da inserção dos dados de RH.</t>
  </si>
  <si>
    <t>Acompanhamento da contratação da ferramenta pela Prodemge (2º semestre/2026)</t>
  </si>
  <si>
    <t>Em andamento</t>
  </si>
  <si>
    <t>26/05/2026 — Em contato com o Superintendente Alexandre Diegues, a ferramenta que permitirá os dados de RH BM na BISP será contratada pela Prodemge no 2º semestre de 2026. Previsão atualizada (antes era mar/2026 com ferramenta DVM/IBM). Custo-benefício para o CBMMG será avaliado oportunamente.</t>
  </si>
  <si>
    <t>Avaliação de custo-benefício da ferramenta para o CBMMG</t>
  </si>
  <si>
    <t>Não haverá rateio de custos ao CBMMG no contrato geral. Decisão depende da definição do instrumento contratual pela Prodemge/SEJUSP.</t>
  </si>
  <si>
    <t>Ingestão dos dados de RH (SIGP) na BISP e criação das views — 17 universos</t>
  </si>
  <si>
    <t>A iniciar</t>
  </si>
  <si>
    <t>PRODEMGE / SDTS / DRH</t>
  </si>
  <si>
    <t>Principal entrega pendente. Depende da contratação e disponibilização da ferramenta pela Prodemge (2º sem/2026). Dos 17 universos de RH mapeados, 13 já constam no armazém e 4 estão fora (Férias Anuais, Férias Prêmio, Cursos, Informação de Pagamento). Observações adicionais: universo "Situação Funcional" com algumas falhas; "Movimentação/Desligamento/Apresentação" requer inferir data fim a partir da próxima data de início.</t>
  </si>
  <si>
    <t>Desenvolvimento de painéis, indicadores e relatórios gerenciais</t>
  </si>
  <si>
    <t>Desenvolvimento contínuo de ferramentas secundárias a partir dos dados da BISP. Exemplo já realizado: painéis de monitoramento durante as fortes chuvas em Juiz de Fora (dados do CAD). Próxima etapa: incorporar dados de RH para painéis de gestão de pessoal (dimensionamento de efetivo, saúde ocupacional, controle de licenças, análises preditivas).</t>
  </si>
  <si>
    <t>Inclusão de label de data de última atualização dos dados</t>
  </si>
  <si>
    <t>SDTS / PRODEMGE</t>
  </si>
  <si>
    <t>Demanda surgida na Reunião da BISP de 16/03/2026. Objetivo: facilitar a identificação da atualidade das informações nos painéis e análises.</t>
  </si>
  <si>
    <t>Manutenção da série histórica do ISCIP — parâmetro "F" via Infoscip Fiscalização</t>
  </si>
  <si>
    <t>DAT / SDTS</t>
  </si>
  <si>
    <t>O parâmetro "F" do ISCIP, antes extraído do REDS, passou a ser obtido exclusivamente do Infoscip Fiscalização (integrado na Sprint 56). Acompanhamento contínuo para garantir a continuidade e confiabilidade da série histórica do índice institucional.</t>
  </si>
  <si>
    <t>Situação atual do projeto</t>
  </si>
  <si>
    <t>Progresso do projeto (% concluído)</t>
  </si>
  <si>
    <t>Percentual previsto em</t>
  </si>
  <si>
    <t>Indicador de evolução do projeto:</t>
  </si>
  <si>
    <t>Percentual concluído até</t>
  </si>
  <si>
    <t>(relação entre o concluído e o previsto)</t>
  </si>
  <si>
    <t>Atas reuniões de monitoramento</t>
  </si>
  <si>
    <r>
      <rPr>
        <rFont val="Arial"/>
        <b/>
        <color theme="1"/>
      </rPr>
      <t>OBJETIVO DO PROJETO</t>
    </r>
    <r>
      <rPr>
        <rFont val="Arial"/>
        <b/>
        <color rgb="FF666666"/>
      </rPr>
      <t xml:space="preserve"> (Puxado automaticamente da aba Identificação do projeto)</t>
    </r>
  </si>
  <si>
    <t xml:space="preserve">1ª Reunião </t>
  </si>
  <si>
    <r>
      <rPr>
        <rFont val="Arial"/>
        <b/>
        <color theme="1"/>
      </rPr>
      <t>METAS E ENTREGAS PREVISTAS</t>
    </r>
    <r>
      <rPr>
        <rFont val="Arial"/>
        <b/>
        <color rgb="FF666666"/>
      </rPr>
      <t xml:space="preserve"> (Puxado automaticamente da aba Metas e entregas previstas)</t>
    </r>
  </si>
  <si>
    <t xml:space="preserve">2ª Reunião </t>
  </si>
  <si>
    <t xml:space="preserve">3ª reunião </t>
  </si>
  <si>
    <t xml:space="preserve">                                                                                                                                                </t>
  </si>
  <si>
    <t>ADAPTAÇÕES NO ESCOPO INICIAL DO PROJETO</t>
  </si>
  <si>
    <t>"Caso tenha havido mudança no escopo inicial do projeto, inserir as informações neste campo, com as justificativas para alteração do escopo."</t>
  </si>
  <si>
    <t>STATUS DO PROJETO</t>
  </si>
  <si>
    <r>
      <rPr>
        <rFont val="Arial"/>
        <b/>
        <color theme="1"/>
      </rPr>
      <t>Observação:</t>
    </r>
    <r>
      <rPr>
        <rFont val="Arial"/>
        <b/>
        <color rgb="FFFF0000"/>
      </rPr>
      <t xml:space="preserve"> </t>
    </r>
    <r>
      <rPr>
        <rFont val="Arial"/>
        <color rgb="FFFF0000"/>
      </rPr>
      <t>"Opcional"</t>
    </r>
  </si>
  <si>
    <t xml:space="preserve">4ª Reunião </t>
  </si>
  <si>
    <t>PRODUTOS</t>
  </si>
  <si>
    <t>PRINCIPAL ENTREGA</t>
  </si>
  <si>
    <t>Principal Entrega do Projeto</t>
  </si>
  <si>
    <t>Documentos Comprobatórios</t>
  </si>
  <si>
    <t xml:space="preserve">5ª Reunião </t>
  </si>
  <si>
    <t>ENTREGAS COMPLEMENTARES</t>
  </si>
  <si>
    <t>Produto</t>
  </si>
  <si>
    <t xml:space="preserve">6ª reunião </t>
  </si>
  <si>
    <t>PRINCIPAIS PROBLEMAS E ENTRAVES</t>
  </si>
  <si>
    <t xml:space="preserve">7ª reunião </t>
  </si>
  <si>
    <t>Problemas durante a execução do projeto</t>
  </si>
  <si>
    <t>Impacto no desenvolvimento</t>
  </si>
  <si>
    <t xml:space="preserve">8ª reunião </t>
  </si>
  <si>
    <t>CONTINUIDADE</t>
  </si>
  <si>
    <t>TAREFAS NÃO CONCLUÍDAS</t>
  </si>
  <si>
    <t>Atividades e Metas não concluídas</t>
  </si>
  <si>
    <t>Planejamento para conclusão</t>
  </si>
  <si>
    <t>Estimativa de tempo</t>
  </si>
  <si>
    <t xml:space="preserve">9ª reunião </t>
  </si>
  <si>
    <t>CONSIDERAÇÕES DO GERENTE DO PROJETO</t>
  </si>
  <si>
    <t>LIÇÕES APRENDIDAS</t>
  </si>
  <si>
    <t xml:space="preserve">10ª reunião </t>
  </si>
  <si>
    <t>"Inserir neste campo as experiências positivas e as experiências negativas vivenciadas durante o projeto, que sejam dignas de relato e divulgação, de forma a melhorar o processo de gestão e execução de projetos no CBMMG"</t>
  </si>
  <si>
    <t>OBSERVAÇÕES</t>
  </si>
  <si>
    <t>"Inserir neste campo demais observações que o gerente do projeto julgar adequadas, sugestões, ações futuras, etc."</t>
  </si>
  <si>
    <t xml:space="preserve">11ª reunião </t>
  </si>
  <si>
    <t xml:space="preserve">12ª reunião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</si>
</sst>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/yyyy"/>
    <numFmt numFmtId="165" formatCode="dd/mm/yyyy"/>
    <numFmt numFmtId="166" formatCode="d/m/yyyy"/>
    <numFmt numFmtId="167" formatCode="[$R$ -416]#,##0.00"/>
    <numFmt numFmtId="168" formatCode="0.0%"/>
    <numFmt numFmtId="169" formatCode="dd/MM/yyyy"/>
  </numFmts>
  <fonts count="62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sz val="18.0"/>
      <color theme="1"/>
      <name val="Play"/>
    </font>
    <font/>
    <font>
      <b/>
      <sz val="17.0"/>
      <color rgb="FF000000"/>
      <name val="Play"/>
    </font>
    <font>
      <sz val="18.0"/>
      <color theme="1"/>
      <name val="Arial"/>
    </font>
    <font>
      <b/>
      <sz val="11.0"/>
      <color rgb="FF000000"/>
      <name val="Calibri"/>
    </font>
    <font>
      <sz val="13.0"/>
      <color rgb="FF1F1F1F"/>
      <name val="Play"/>
    </font>
    <font>
      <b/>
      <sz val="15.0"/>
      <color rgb="FF000000"/>
      <name val="Play"/>
    </font>
    <font>
      <sz val="14.0"/>
      <color rgb="FF000000"/>
      <name val="Play"/>
    </font>
    <font>
      <u/>
      <sz val="13.0"/>
      <color rgb="FF1F1F1F"/>
      <name val="Play"/>
    </font>
    <font>
      <sz val="17.0"/>
      <color rgb="FF000000"/>
      <name val="Play"/>
    </font>
    <font>
      <sz val="17.0"/>
      <color rgb="FF000000"/>
      <name val="Calibri"/>
    </font>
    <font>
      <color rgb="FFFFFFFF"/>
      <name val="Play"/>
    </font>
    <font>
      <b/>
      <sz val="14.0"/>
      <color rgb="FF000000"/>
      <name val="Play"/>
    </font>
    <font>
      <color theme="1"/>
      <name val="Play"/>
    </font>
    <font>
      <b/>
      <sz val="13.0"/>
      <color rgb="FF000000"/>
      <name val="Play"/>
    </font>
    <font>
      <sz val="14.0"/>
      <color rgb="FFFFFFFF"/>
      <name val="Play"/>
    </font>
    <font>
      <b/>
      <sz val="18.0"/>
      <color theme="1"/>
      <name val="Play"/>
    </font>
    <font>
      <sz val="11.0"/>
      <color theme="1"/>
      <name val="Play"/>
    </font>
    <font>
      <color rgb="FFCCCCCC"/>
      <name val="Play"/>
    </font>
    <font>
      <b/>
      <sz val="12.0"/>
      <color rgb="FF000000"/>
      <name val="Play"/>
    </font>
    <font>
      <sz val="11.0"/>
      <color rgb="FFCCCCCC"/>
      <name val="Play"/>
    </font>
    <font>
      <sz val="8.0"/>
      <color rgb="FF000000"/>
      <name val="Play"/>
    </font>
    <font>
      <sz val="12.0"/>
      <color rgb="FF000000"/>
      <name val="Play"/>
    </font>
    <font>
      <sz val="12.0"/>
      <color theme="1"/>
      <name val="Play"/>
    </font>
    <font>
      <color rgb="FF666666"/>
      <name val="Arial"/>
    </font>
    <font>
      <color rgb="FF999999"/>
      <name val="Play"/>
    </font>
    <font>
      <b/>
      <sz val="10.0"/>
      <color rgb="FF000000"/>
      <name val="Play"/>
    </font>
    <font>
      <sz val="10.0"/>
      <color rgb="FF000000"/>
      <name val="Play"/>
    </font>
    <font>
      <color rgb="FF000000"/>
      <name val="Play"/>
    </font>
    <font>
      <b/>
      <sz val="14.0"/>
      <color theme="1"/>
      <name val="Play"/>
    </font>
    <font>
      <b/>
      <sz val="11.0"/>
      <color theme="1"/>
      <name val="Play"/>
    </font>
    <font>
      <sz val="11.0"/>
      <color rgb="FF000000"/>
      <name val="Arial"/>
    </font>
    <font>
      <b/>
      <sz val="12.0"/>
      <color theme="1"/>
      <name val="Play"/>
    </font>
    <font>
      <sz val="14.0"/>
      <color theme="1"/>
      <name val="Play"/>
    </font>
    <font>
      <sz val="14.0"/>
      <color rgb="FFFF0000"/>
      <name val="Play"/>
    </font>
    <font>
      <sz val="14.0"/>
      <color rgb="FF000000"/>
      <name val="Arial"/>
    </font>
    <font>
      <sz val="11.0"/>
      <color rgb="FF000000"/>
      <name val="Play"/>
    </font>
    <font>
      <color rgb="FFD9D9D9"/>
      <name val="Arial"/>
    </font>
    <font>
      <sz val="14.0"/>
      <color rgb="FFFFFFFF"/>
      <name val="Arial"/>
    </font>
    <font>
      <color rgb="FFF9CB9C"/>
      <name val="Arial"/>
    </font>
    <font>
      <color rgb="FFB7B7B7"/>
      <name val="Arial"/>
    </font>
    <font>
      <b/>
      <sz val="14.0"/>
      <color rgb="FFFFFFFF"/>
      <name val="Arial"/>
    </font>
    <font>
      <sz val="14.0"/>
      <color theme="1"/>
      <name val="Arial"/>
    </font>
    <font>
      <b/>
      <sz val="10.0"/>
      <color theme="1"/>
      <name val="Play"/>
    </font>
    <font>
      <b/>
      <color theme="1"/>
      <name val="Play"/>
    </font>
    <font>
      <sz val="10.0"/>
      <color theme="1"/>
      <name val="Arial"/>
    </font>
    <font>
      <color theme="1"/>
      <name val="Arial"/>
      <scheme val="minor"/>
    </font>
    <font>
      <b/>
      <color rgb="FFFFFFFF"/>
      <name val="Play"/>
    </font>
    <font>
      <color rgb="FFB7B7B7"/>
      <name val="Play"/>
    </font>
    <font>
      <b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color rgb="FFFF0000"/>
      <name val="Arial"/>
    </font>
    <font>
      <b/>
      <sz val="12.0"/>
      <color rgb="FF000000"/>
      <name val="Arial"/>
    </font>
    <font>
      <b/>
      <color rgb="FF000000"/>
      <name val="Arial"/>
    </font>
    <font>
      <color rgb="FF000000"/>
      <name val="Arial"/>
    </font>
    <font>
      <sz val="12.0"/>
      <color rgb="FFFFFFFF"/>
      <name val="Arial"/>
    </font>
    <font>
      <b/>
      <sz val="10.0"/>
      <color theme="1"/>
      <name val="Arial"/>
    </font>
    <font>
      <b/>
      <sz val="10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1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/>
      <bottom/>
    </border>
    <border>
      <top/>
      <bottom/>
    </border>
    <border>
      <right style="thick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2" fillId="4" fontId="2" numFmtId="0" xfId="0" applyBorder="1" applyFill="1" applyFont="1"/>
    <xf borderId="4" fillId="0" fontId="4" numFmtId="0" xfId="0" applyBorder="1" applyFont="1"/>
    <xf borderId="5" fillId="0" fontId="4" numFmtId="0" xfId="0" applyBorder="1" applyFont="1"/>
    <xf borderId="6" fillId="5" fontId="5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2" fontId="2" numFmtId="0" xfId="0" applyBorder="1" applyFont="1"/>
    <xf borderId="10" fillId="0" fontId="4" numFmtId="0" xfId="0" applyBorder="1" applyFont="1"/>
    <xf borderId="11" fillId="0" fontId="4" numFmtId="0" xfId="0" applyBorder="1" applyFont="1"/>
    <xf borderId="4" fillId="6" fontId="1" numFmtId="0" xfId="0" applyBorder="1" applyFill="1" applyFont="1"/>
    <xf borderId="0" fillId="0" fontId="7" numFmtId="0" xfId="0" applyAlignment="1" applyFont="1">
      <alignment horizontal="center" shrinkToFit="0" vertical="top" wrapText="0"/>
    </xf>
    <xf borderId="0" fillId="6" fontId="2" numFmtId="0" xfId="0" applyFont="1"/>
    <xf borderId="12" fillId="4" fontId="8" numFmtId="0" xfId="0" applyAlignment="1" applyBorder="1" applyFont="1">
      <alignment shrinkToFit="0" vertical="top" wrapText="1"/>
    </xf>
    <xf borderId="13" fillId="0" fontId="4" numFmtId="0" xfId="0" applyBorder="1" applyFont="1"/>
    <xf borderId="14" fillId="2" fontId="2" numFmtId="0" xfId="0" applyBorder="1" applyFont="1"/>
    <xf borderId="15" fillId="5" fontId="9" numFmtId="0" xfId="0" applyAlignment="1" applyBorder="1" applyFont="1">
      <alignment horizontal="center" shrinkToFit="0" vertical="center" wrapText="1"/>
    </xf>
    <xf borderId="0" fillId="2" fontId="2" numFmtId="0" xfId="0" applyFont="1"/>
    <xf borderId="16" fillId="5" fontId="9" numFmtId="0" xfId="0" applyAlignment="1" applyBorder="1" applyFont="1">
      <alignment horizontal="center" shrinkToFit="0" vertical="center" wrapText="1"/>
    </xf>
    <xf borderId="0" fillId="4" fontId="2" numFmtId="0" xfId="0" applyFont="1"/>
    <xf borderId="17" fillId="5" fontId="9" numFmtId="0" xfId="0" applyAlignment="1" applyBorder="1" applyFont="1">
      <alignment horizontal="center" shrinkToFit="0" vertical="center" wrapText="1"/>
    </xf>
    <xf borderId="13" fillId="2" fontId="2" numFmtId="0" xfId="0" applyBorder="1" applyFont="1"/>
    <xf borderId="0" fillId="6" fontId="1" numFmtId="0" xfId="0" applyFont="1"/>
    <xf borderId="18" fillId="4" fontId="10" numFmtId="164" xfId="0" applyAlignment="1" applyBorder="1" applyFont="1" applyNumberFormat="1">
      <alignment horizontal="left" shrinkToFit="0" vertical="center" wrapText="1"/>
    </xf>
    <xf borderId="19" fillId="4" fontId="10" numFmtId="0" xfId="0" applyAlignment="1" applyBorder="1" applyFont="1">
      <alignment horizontal="left" shrinkToFit="0" vertical="center" wrapText="1"/>
    </xf>
    <xf borderId="14" fillId="4" fontId="11" numFmtId="0" xfId="0" applyAlignment="1" applyBorder="1" applyFont="1">
      <alignment shrinkToFit="0" vertical="top" wrapText="1"/>
    </xf>
    <xf borderId="20" fillId="0" fontId="4" numFmtId="0" xfId="0" applyBorder="1" applyFont="1"/>
    <xf borderId="12" fillId="0" fontId="4" numFmtId="0" xfId="0" applyBorder="1" applyFont="1"/>
    <xf borderId="21" fillId="4" fontId="10" numFmtId="0" xfId="0" applyAlignment="1" applyBorder="1" applyFont="1">
      <alignment horizontal="left" shrinkToFit="0" vertical="center" wrapText="1"/>
    </xf>
    <xf borderId="14" fillId="0" fontId="4" numFmtId="0" xfId="0" applyBorder="1" applyFont="1"/>
    <xf borderId="0" fillId="0" fontId="12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22" fillId="4" fontId="10" numFmtId="164" xfId="0" applyAlignment="1" applyBorder="1" applyFont="1" applyNumberFormat="1">
      <alignment horizontal="left" shrinkToFit="0" vertical="center" wrapText="1"/>
    </xf>
    <xf borderId="23" fillId="4" fontId="10" numFmtId="0" xfId="0" applyAlignment="1" applyBorder="1" applyFont="1">
      <alignment horizontal="left" shrinkToFit="0" vertical="center" wrapText="1"/>
    </xf>
    <xf borderId="24" fillId="4" fontId="10" numFmtId="0" xfId="0" applyAlignment="1" applyBorder="1" applyFont="1">
      <alignment horizontal="left" shrinkToFit="0" vertical="center" wrapText="1"/>
    </xf>
    <xf borderId="22" fillId="4" fontId="10" numFmtId="165" xfId="0" applyAlignment="1" applyBorder="1" applyFont="1" applyNumberFormat="1">
      <alignment horizontal="left" shrinkToFit="0" vertical="center" wrapText="1"/>
    </xf>
    <xf borderId="14" fillId="4" fontId="2" numFmtId="0" xfId="0" applyBorder="1" applyFont="1"/>
    <xf borderId="25" fillId="0" fontId="4" numFmtId="0" xfId="0" applyBorder="1" applyFont="1"/>
    <xf borderId="26" fillId="0" fontId="4" numFmtId="0" xfId="0" applyBorder="1" applyFont="1"/>
    <xf borderId="23" fillId="7" fontId="10" numFmtId="0" xfId="0" applyAlignment="1" applyBorder="1" applyFill="1" applyFont="1">
      <alignment horizontal="left" shrinkToFit="0" vertical="center" wrapText="1"/>
    </xf>
    <xf borderId="27" fillId="0" fontId="4" numFmtId="0" xfId="0" applyBorder="1" applyFont="1"/>
    <xf borderId="28" fillId="0" fontId="4" numFmtId="0" xfId="0" applyBorder="1" applyFont="1"/>
    <xf borderId="13" fillId="4" fontId="2" numFmtId="0" xfId="0" applyBorder="1" applyFont="1"/>
    <xf borderId="29" fillId="0" fontId="4" numFmtId="0" xfId="0" applyBorder="1" applyFont="1"/>
    <xf borderId="4" fillId="4" fontId="2" numFmtId="0" xfId="0" applyBorder="1" applyFont="1"/>
    <xf borderId="30" fillId="3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9" fillId="0" fontId="4" numFmtId="0" xfId="0" applyBorder="1" applyFont="1"/>
    <xf borderId="1" fillId="3" fontId="3" numFmtId="0" xfId="0" applyAlignment="1" applyBorder="1" applyFont="1">
      <alignment horizontal="center" shrinkToFit="0" vertical="center" wrapText="1"/>
    </xf>
    <xf borderId="11" fillId="4" fontId="2" numFmtId="0" xfId="0" applyBorder="1" applyFont="1"/>
    <xf borderId="31" fillId="0" fontId="4" numFmtId="0" xfId="0" applyBorder="1" applyFont="1"/>
    <xf borderId="14" fillId="4" fontId="14" numFmtId="0" xfId="0" applyBorder="1" applyFont="1"/>
    <xf borderId="0" fillId="4" fontId="14" numFmtId="0" xfId="0" applyFont="1"/>
    <xf borderId="0" fillId="4" fontId="14" numFmtId="0" xfId="0" applyAlignment="1" applyFont="1">
      <alignment vertical="center"/>
    </xf>
    <xf borderId="13" fillId="4" fontId="14" numFmtId="0" xfId="0" applyBorder="1" applyFont="1"/>
    <xf borderId="20" fillId="4" fontId="14" numFmtId="0" xfId="0" applyAlignment="1" applyBorder="1" applyFont="1">
      <alignment vertical="center"/>
    </xf>
    <xf borderId="0" fillId="4" fontId="15" numFmtId="0" xfId="0" applyAlignment="1" applyFont="1">
      <alignment vertical="center"/>
    </xf>
    <xf borderId="22" fillId="4" fontId="10" numFmtId="166" xfId="0" applyAlignment="1" applyBorder="1" applyFont="1" applyNumberFormat="1">
      <alignment horizontal="left" shrinkToFit="0" vertical="center" wrapText="1"/>
    </xf>
    <xf borderId="32" fillId="6" fontId="10" numFmtId="0" xfId="0" applyAlignment="1" applyBorder="1" applyFont="1">
      <alignment horizontal="left" vertical="center"/>
    </xf>
    <xf borderId="33" fillId="0" fontId="4" numFmtId="0" xfId="0" applyBorder="1" applyFont="1"/>
    <xf borderId="34" fillId="0" fontId="4" numFmtId="0" xfId="0" applyBorder="1" applyFont="1"/>
    <xf borderId="35" fillId="6" fontId="10" numFmtId="0" xfId="0" applyAlignment="1" applyBorder="1" applyFont="1">
      <alignment horizontal="left" vertical="center"/>
    </xf>
    <xf borderId="36" fillId="0" fontId="4" numFmtId="0" xfId="0" applyBorder="1" applyFont="1"/>
    <xf borderId="37" fillId="0" fontId="4" numFmtId="0" xfId="0" applyBorder="1" applyFont="1"/>
    <xf borderId="0" fillId="4" fontId="15" numFmtId="0" xfId="0" applyAlignment="1" applyFont="1">
      <alignment horizontal="left" vertical="center"/>
    </xf>
    <xf borderId="38" fillId="6" fontId="10" numFmtId="0" xfId="0" applyAlignment="1" applyBorder="1" applyFont="1">
      <alignment horizontal="left" vertical="center"/>
    </xf>
    <xf borderId="39" fillId="0" fontId="4" numFmtId="0" xfId="0" applyBorder="1" applyFont="1"/>
    <xf borderId="40" fillId="0" fontId="4" numFmtId="0" xfId="0" applyBorder="1" applyFont="1"/>
    <xf borderId="41" fillId="4" fontId="10" numFmtId="165" xfId="0" applyAlignment="1" applyBorder="1" applyFont="1" applyNumberFormat="1">
      <alignment horizontal="left" shrinkToFit="0" vertical="center" wrapText="1"/>
    </xf>
    <xf borderId="42" fillId="4" fontId="10" numFmtId="0" xfId="0" applyAlignment="1" applyBorder="1" applyFont="1">
      <alignment horizontal="left" shrinkToFit="0" vertical="center" wrapText="1"/>
    </xf>
    <xf borderId="43" fillId="0" fontId="4" numFmtId="0" xfId="0" applyBorder="1" applyFont="1"/>
    <xf borderId="44" fillId="0" fontId="4" numFmtId="0" xfId="0" applyBorder="1" applyFont="1"/>
    <xf borderId="45" fillId="4" fontId="10" numFmtId="0" xfId="0" applyAlignment="1" applyBorder="1" applyFont="1">
      <alignment horizontal="left" shrinkToFit="0" vertical="center" wrapText="1"/>
    </xf>
    <xf borderId="46" fillId="0" fontId="4" numFmtId="0" xfId="0" applyBorder="1" applyFont="1"/>
    <xf borderId="0" fillId="4" fontId="15" numFmtId="0" xfId="0" applyAlignment="1" applyFont="1">
      <alignment horizontal="left" readingOrder="0" vertical="center"/>
    </xf>
    <xf borderId="35" fillId="6" fontId="10" numFmtId="0" xfId="0" applyAlignment="1" applyBorder="1" applyFont="1">
      <alignment horizontal="left" readingOrder="0" vertical="center"/>
    </xf>
    <xf borderId="0" fillId="0" fontId="16" numFmtId="0" xfId="0" applyFont="1"/>
    <xf borderId="3" fillId="5" fontId="17" numFmtId="0" xfId="0" applyAlignment="1" applyBorder="1" applyFont="1">
      <alignment horizontal="center" shrinkToFit="0" vertical="center" wrapText="1"/>
    </xf>
    <xf borderId="22" fillId="5" fontId="17" numFmtId="0" xfId="0" applyAlignment="1" applyBorder="1" applyFont="1">
      <alignment horizontal="center" shrinkToFit="0" vertical="center" wrapText="1"/>
    </xf>
    <xf borderId="47" fillId="6" fontId="10" numFmtId="0" xfId="0" applyAlignment="1" applyBorder="1" applyFont="1">
      <alignment horizontal="left" vertical="center"/>
    </xf>
    <xf borderId="48" fillId="5" fontId="17" numFmtId="0" xfId="0" applyAlignment="1" applyBorder="1" applyFont="1">
      <alignment horizontal="center" shrinkToFit="0" vertical="center" wrapText="1"/>
    </xf>
    <xf borderId="49" fillId="0" fontId="4" numFmtId="0" xfId="0" applyBorder="1" applyFont="1"/>
    <xf borderId="50" fillId="0" fontId="4" numFmtId="0" xfId="0" applyBorder="1" applyFont="1"/>
    <xf borderId="22" fillId="4" fontId="10" numFmtId="0" xfId="0" applyAlignment="1" applyBorder="1" applyFont="1">
      <alignment horizontal="center" shrinkToFit="0" vertical="center" wrapText="1"/>
    </xf>
    <xf borderId="0" fillId="4" fontId="18" numFmtId="0" xfId="0" applyAlignment="1" applyFont="1">
      <alignment vertical="center"/>
    </xf>
    <xf borderId="41" fillId="4" fontId="10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shrinkToFit="0" vertical="top" wrapText="1"/>
    </xf>
    <xf borderId="0" fillId="4" fontId="18" numFmtId="0" xfId="0" applyFont="1"/>
    <xf borderId="0" fillId="4" fontId="19" numFmtId="0" xfId="0" applyAlignment="1" applyFont="1">
      <alignment horizontal="center" vertical="center"/>
    </xf>
    <xf borderId="0" fillId="4" fontId="10" numFmtId="0" xfId="0" applyFont="1"/>
    <xf borderId="51" fillId="3" fontId="15" numFmtId="0" xfId="0" applyAlignment="1" applyBorder="1" applyFont="1">
      <alignment vertical="center"/>
    </xf>
    <xf borderId="52" fillId="0" fontId="4" numFmtId="0" xfId="0" applyBorder="1" applyFont="1"/>
    <xf borderId="52" fillId="3" fontId="18" numFmtId="0" xfId="0" applyAlignment="1" applyBorder="1" applyFont="1">
      <alignment vertical="center"/>
    </xf>
    <xf borderId="52" fillId="3" fontId="14" numFmtId="0" xfId="0" applyAlignment="1" applyBorder="1" applyFont="1">
      <alignment vertical="center"/>
    </xf>
    <xf borderId="53" fillId="0" fontId="4" numFmtId="0" xfId="0" applyBorder="1" applyFont="1"/>
    <xf borderId="54" fillId="0" fontId="4" numFmtId="0" xfId="0" applyBorder="1" applyFont="1"/>
    <xf borderId="55" fillId="0" fontId="4" numFmtId="0" xfId="0" applyBorder="1" applyFont="1"/>
    <xf borderId="56" fillId="3" fontId="14" numFmtId="0" xfId="0" applyAlignment="1" applyBorder="1" applyFont="1">
      <alignment vertical="center"/>
    </xf>
    <xf borderId="57" fillId="0" fontId="4" numFmtId="0" xfId="0" applyBorder="1" applyFont="1"/>
    <xf borderId="58" fillId="0" fontId="4" numFmtId="0" xfId="0" applyBorder="1" applyFont="1"/>
    <xf borderId="3" fillId="6" fontId="20" numFmtId="0" xfId="0" applyAlignment="1" applyBorder="1" applyFont="1">
      <alignment shrinkToFit="0" vertical="top" wrapText="1"/>
    </xf>
    <xf borderId="0" fillId="4" fontId="16" numFmtId="0" xfId="0" applyFont="1"/>
    <xf borderId="0" fillId="4" fontId="10" numFmtId="0" xfId="0" applyAlignment="1" applyFont="1">
      <alignment horizontal="center" vertical="center"/>
    </xf>
    <xf borderId="51" fillId="3" fontId="15" numFmtId="0" xfId="0" applyAlignment="1" applyBorder="1" applyFont="1">
      <alignment horizontal="center" vertical="bottom"/>
    </xf>
    <xf borderId="56" fillId="0" fontId="4" numFmtId="0" xfId="0" applyBorder="1" applyFont="1"/>
    <xf borderId="0" fillId="4" fontId="21" numFmtId="0" xfId="0" applyAlignment="1" applyFont="1">
      <alignment vertical="center"/>
    </xf>
    <xf borderId="51" fillId="3" fontId="15" numFmtId="0" xfId="0" applyAlignment="1" applyBorder="1" applyFont="1">
      <alignment horizontal="center" vertical="center"/>
    </xf>
    <xf borderId="59" fillId="3" fontId="22" numFmtId="0" xfId="0" applyAlignment="1" applyBorder="1" applyFont="1">
      <alignment horizontal="center" vertical="center"/>
    </xf>
    <xf borderId="60" fillId="3" fontId="22" numFmtId="0" xfId="0" applyAlignment="1" applyBorder="1" applyFont="1">
      <alignment horizontal="center" vertical="center"/>
    </xf>
    <xf borderId="61" fillId="3" fontId="22" numFmtId="0" xfId="0" applyAlignment="1" applyBorder="1" applyFont="1">
      <alignment horizontal="center" vertical="center"/>
    </xf>
    <xf borderId="60" fillId="0" fontId="4" numFmtId="0" xfId="0" applyBorder="1" applyFont="1"/>
    <xf borderId="62" fillId="0" fontId="4" numFmtId="0" xfId="0" applyBorder="1" applyFont="1"/>
    <xf borderId="0" fillId="4" fontId="23" numFmtId="0" xfId="0" applyAlignment="1" applyFont="1">
      <alignment horizontal="right" vertical="center"/>
    </xf>
    <xf borderId="3" fillId="6" fontId="24" numFmtId="0" xfId="0" applyAlignment="1" applyBorder="1" applyFont="1">
      <alignment readingOrder="0" shrinkToFit="0" vertical="center" wrapText="1"/>
    </xf>
    <xf borderId="22" fillId="6" fontId="25" numFmtId="0" xfId="0" applyAlignment="1" applyBorder="1" applyFont="1">
      <alignment horizontal="center" vertical="center"/>
    </xf>
    <xf borderId="23" fillId="6" fontId="26" numFmtId="0" xfId="0" applyBorder="1" applyFont="1"/>
    <xf borderId="63" fillId="6" fontId="26" numFmtId="0" xfId="0" applyBorder="1" applyFont="1"/>
    <xf borderId="64" fillId="0" fontId="4" numFmtId="0" xfId="0" applyBorder="1" applyFont="1"/>
    <xf borderId="1" fillId="4" fontId="1" numFmtId="0" xfId="0" applyBorder="1" applyFont="1"/>
    <xf borderId="63" fillId="6" fontId="26" numFmtId="0" xfId="0" applyAlignment="1" applyBorder="1" applyFont="1">
      <alignment horizontal="center"/>
    </xf>
    <xf borderId="65" fillId="0" fontId="4" numFmtId="0" xfId="0" applyBorder="1" applyFont="1"/>
    <xf borderId="0" fillId="4" fontId="21" numFmtId="0" xfId="0" applyAlignment="1" applyFont="1">
      <alignment horizontal="right" vertical="center"/>
    </xf>
    <xf borderId="9" fillId="4" fontId="2" numFmtId="0" xfId="0" applyBorder="1" applyFont="1"/>
    <xf borderId="4" fillId="6" fontId="2" numFmtId="0" xfId="0" applyBorder="1" applyFont="1"/>
    <xf borderId="23" fillId="6" fontId="25" numFmtId="0" xfId="0" applyAlignment="1" applyBorder="1" applyFont="1">
      <alignment vertical="center"/>
    </xf>
    <xf borderId="63" fillId="6" fontId="25" numFmtId="0" xfId="0" applyAlignment="1" applyBorder="1" applyFont="1">
      <alignment vertical="center"/>
    </xf>
    <xf borderId="63" fillId="6" fontId="25" numFmtId="0" xfId="0" applyAlignment="1" applyBorder="1" applyFont="1">
      <alignment horizontal="center" vertical="center"/>
    </xf>
    <xf borderId="0" fillId="4" fontId="15" numFmtId="0" xfId="0" applyFont="1"/>
    <xf borderId="63" fillId="6" fontId="25" numFmtId="0" xfId="0" applyAlignment="1" applyBorder="1" applyFont="1">
      <alignment horizontal="left" vertical="center"/>
    </xf>
    <xf borderId="41" fillId="6" fontId="25" numFmtId="0" xfId="0" applyAlignment="1" applyBorder="1" applyFont="1">
      <alignment horizontal="center" vertical="center"/>
    </xf>
    <xf borderId="42" fillId="6" fontId="25" numFmtId="0" xfId="0" applyAlignment="1" applyBorder="1" applyFont="1">
      <alignment vertical="center"/>
    </xf>
    <xf borderId="66" fillId="6" fontId="25" numFmtId="0" xfId="0" applyAlignment="1" applyBorder="1" applyFont="1">
      <alignment vertical="center"/>
    </xf>
    <xf borderId="0" fillId="4" fontId="1" numFmtId="0" xfId="0" applyAlignment="1" applyFont="1">
      <alignment vertical="bottom"/>
    </xf>
    <xf borderId="67" fillId="0" fontId="4" numFmtId="0" xfId="0" applyBorder="1" applyFont="1"/>
    <xf borderId="68" fillId="0" fontId="4" numFmtId="0" xfId="0" applyBorder="1" applyFont="1"/>
    <xf borderId="32" fillId="6" fontId="10" numFmtId="0" xfId="0" applyAlignment="1" applyBorder="1" applyFont="1">
      <alignment horizontal="left"/>
    </xf>
    <xf borderId="66" fillId="6" fontId="25" numFmtId="0" xfId="0" applyAlignment="1" applyBorder="1" applyFont="1">
      <alignment horizontal="center" vertical="center"/>
    </xf>
    <xf borderId="69" fillId="0" fontId="4" numFmtId="0" xfId="0" applyBorder="1" applyFont="1"/>
    <xf borderId="0" fillId="4" fontId="27" numFmtId="0" xfId="0" applyAlignment="1" applyFont="1">
      <alignment vertical="center"/>
    </xf>
    <xf borderId="0" fillId="4" fontId="28" numFmtId="0" xfId="0" applyAlignment="1" applyFont="1">
      <alignment horizontal="right" vertical="center"/>
    </xf>
    <xf borderId="0" fillId="4" fontId="1" numFmtId="0" xfId="0" applyAlignment="1" applyFont="1">
      <alignment vertical="center"/>
    </xf>
    <xf borderId="20" fillId="4" fontId="1" numFmtId="0" xfId="0" applyAlignment="1" applyBorder="1" applyFont="1">
      <alignment vertical="center"/>
    </xf>
    <xf borderId="14" fillId="4" fontId="2" numFmtId="0" xfId="0" applyAlignment="1" applyBorder="1" applyFont="1">
      <alignment vertical="center"/>
    </xf>
    <xf borderId="0" fillId="4" fontId="28" numFmtId="0" xfId="0" applyAlignment="1" applyFont="1">
      <alignment vertical="center"/>
    </xf>
    <xf borderId="0" fillId="4" fontId="15" numFmtId="0" xfId="0" applyAlignment="1" applyFont="1">
      <alignment horizontal="left"/>
    </xf>
    <xf borderId="13" fillId="4" fontId="14" numFmtId="0" xfId="0" applyAlignment="1" applyBorder="1" applyFont="1">
      <alignment vertical="center"/>
    </xf>
    <xf borderId="0" fillId="6" fontId="2" numFmtId="0" xfId="0" applyAlignment="1" applyFont="1">
      <alignment vertical="center"/>
    </xf>
    <xf borderId="0" fillId="6" fontId="1" numFmtId="0" xfId="0" applyAlignment="1" applyFont="1">
      <alignment vertical="center"/>
    </xf>
    <xf borderId="38" fillId="6" fontId="10" numFmtId="0" xfId="0" applyAlignment="1" applyBorder="1" applyFont="1">
      <alignment horizontal="left"/>
    </xf>
    <xf borderId="51" fillId="3" fontId="15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horizontal="left" readingOrder="0"/>
    </xf>
    <xf borderId="35" fillId="6" fontId="10" numFmtId="0" xfId="0" applyAlignment="1" applyBorder="1" applyFont="1">
      <alignment horizontal="left"/>
    </xf>
    <xf borderId="59" fillId="8" fontId="29" numFmtId="0" xfId="0" applyAlignment="1" applyBorder="1" applyFill="1" applyFont="1">
      <alignment horizontal="center" shrinkToFit="0" vertical="center" wrapText="1"/>
    </xf>
    <xf borderId="61" fillId="8" fontId="29" numFmtId="0" xfId="0" applyAlignment="1" applyBorder="1" applyFont="1">
      <alignment horizontal="center" shrinkToFit="0" vertical="center" wrapText="1"/>
    </xf>
    <xf borderId="70" fillId="8" fontId="29" numFmtId="0" xfId="0" applyAlignment="1" applyBorder="1" applyFont="1">
      <alignment horizontal="center" shrinkToFit="0" vertical="center" wrapText="1"/>
    </xf>
    <xf borderId="47" fillId="6" fontId="10" numFmtId="0" xfId="0" applyAlignment="1" applyBorder="1" applyFont="1">
      <alignment horizontal="left"/>
    </xf>
    <xf borderId="71" fillId="8" fontId="29" numFmtId="0" xfId="0" applyAlignment="1" applyBorder="1" applyFont="1">
      <alignment horizontal="center" shrinkToFit="0" vertical="center" wrapText="1"/>
    </xf>
    <xf borderId="22" fillId="6" fontId="30" numFmtId="0" xfId="0" applyAlignment="1" applyBorder="1" applyFont="1">
      <alignment horizontal="center" shrinkToFit="0" vertical="center" wrapText="1"/>
    </xf>
    <xf borderId="63" fillId="6" fontId="31" numFmtId="0" xfId="0" applyAlignment="1" applyBorder="1" applyFont="1">
      <alignment horizontal="center" readingOrder="0" shrinkToFit="0" vertical="center" wrapText="1"/>
    </xf>
    <xf borderId="23" fillId="6" fontId="31" numFmtId="0" xfId="0" applyAlignment="1" applyBorder="1" applyFont="1">
      <alignment horizontal="center" readingOrder="0" shrinkToFit="0" vertical="center" wrapText="1"/>
    </xf>
    <xf borderId="23" fillId="9" fontId="31" numFmtId="0" xfId="0" applyAlignment="1" applyBorder="1" applyFill="1" applyFont="1">
      <alignment horizontal="center" readingOrder="0" shrinkToFit="0" vertical="center" wrapText="1"/>
    </xf>
    <xf borderId="24" fillId="6" fontId="31" numFmtId="0" xfId="0" applyAlignment="1" applyBorder="1" applyFont="1">
      <alignment horizontal="center" readingOrder="0" shrinkToFit="0" vertical="center" wrapText="1"/>
    </xf>
    <xf borderId="72" fillId="8" fontId="32" numFmtId="0" xfId="0" applyAlignment="1" applyBorder="1" applyFont="1">
      <alignment horizontal="center" shrinkToFit="0" vertical="center" wrapText="1"/>
    </xf>
    <xf borderId="73" fillId="0" fontId="4" numFmtId="0" xfId="0" applyBorder="1" applyFont="1"/>
    <xf borderId="74" fillId="8" fontId="32" numFmtId="0" xfId="0" applyAlignment="1" applyBorder="1" applyFont="1">
      <alignment horizontal="center" shrinkToFit="0" vertical="center" wrapText="1"/>
    </xf>
    <xf borderId="75" fillId="8" fontId="32" numFmtId="0" xfId="0" applyAlignment="1" applyBorder="1" applyFont="1">
      <alignment horizontal="center" shrinkToFit="0" vertical="center" wrapText="1"/>
    </xf>
    <xf borderId="76" fillId="8" fontId="32" numFmtId="0" xfId="0" applyAlignment="1" applyBorder="1" applyFont="1">
      <alignment horizontal="center" shrinkToFit="0" vertical="center" wrapText="1"/>
    </xf>
    <xf borderId="51" fillId="8" fontId="15" numFmtId="0" xfId="0" applyAlignment="1" applyBorder="1" applyFont="1">
      <alignment horizontal="center"/>
    </xf>
    <xf borderId="77" fillId="0" fontId="4" numFmtId="0" xfId="0" applyBorder="1" applyFont="1"/>
    <xf borderId="78" fillId="0" fontId="4" numFmtId="0" xfId="0" applyBorder="1" applyFont="1"/>
    <xf borderId="0" fillId="4" fontId="1" numFmtId="0" xfId="0" applyFont="1"/>
    <xf borderId="51" fillId="4" fontId="32" numFmtId="0" xfId="0" applyAlignment="1" applyBorder="1" applyFont="1">
      <alignment horizontal="center" vertical="center"/>
    </xf>
    <xf borderId="79" fillId="6" fontId="33" numFmtId="0" xfId="0" applyAlignment="1" applyBorder="1" applyFont="1">
      <alignment shrinkToFit="0" vertical="center" wrapText="1"/>
    </xf>
    <xf borderId="80" fillId="0" fontId="4" numFmtId="0" xfId="0" applyBorder="1" applyFont="1"/>
    <xf borderId="81" fillId="6" fontId="20" numFmtId="165" xfId="0" applyAlignment="1" applyBorder="1" applyFont="1" applyNumberFormat="1">
      <alignment horizontal="center" shrinkToFit="0" wrapText="1"/>
    </xf>
    <xf borderId="51" fillId="8" fontId="15" numFmtId="0" xfId="0" applyAlignment="1" applyBorder="1" applyFont="1">
      <alignment horizontal="left"/>
    </xf>
    <xf borderId="82" fillId="6" fontId="20" numFmtId="9" xfId="0" applyAlignment="1" applyBorder="1" applyFont="1" applyNumberFormat="1">
      <alignment horizontal="center" shrinkToFit="0" wrapText="1"/>
    </xf>
    <xf borderId="83" fillId="4" fontId="32" numFmtId="0" xfId="0" applyAlignment="1" applyBorder="1" applyFont="1">
      <alignment horizontal="center" shrinkToFit="0" vertical="center" wrapText="1"/>
    </xf>
    <xf borderId="84" fillId="10" fontId="20" numFmtId="0" xfId="0" applyAlignment="1" applyBorder="1" applyFill="1" applyFont="1">
      <alignment horizontal="center" shrinkToFit="0" wrapText="1"/>
    </xf>
    <xf borderId="85" fillId="4" fontId="32" numFmtId="0" xfId="0" applyAlignment="1" applyBorder="1" applyFont="1">
      <alignment horizontal="center" shrinkToFit="0" vertical="center" wrapText="1"/>
    </xf>
    <xf borderId="86" fillId="4" fontId="32" numFmtId="0" xfId="0" applyAlignment="1" applyBorder="1" applyFont="1">
      <alignment horizontal="center" shrinkToFit="0" vertical="center" wrapText="1"/>
    </xf>
    <xf borderId="87" fillId="6" fontId="20" numFmtId="0" xfId="0" applyAlignment="1" applyBorder="1" applyFont="1">
      <alignment shrinkToFit="0" wrapText="1"/>
    </xf>
    <xf borderId="79" fillId="6" fontId="34" numFmtId="0" xfId="0" applyAlignment="1" applyBorder="1" applyFont="1">
      <alignment shrinkToFit="0" wrapText="1"/>
    </xf>
    <xf borderId="88" fillId="6" fontId="20" numFmtId="0" xfId="0" applyAlignment="1" applyBorder="1" applyFont="1">
      <alignment shrinkToFit="0" vertical="top" wrapText="1"/>
    </xf>
    <xf borderId="89" fillId="0" fontId="4" numFmtId="0" xfId="0" applyBorder="1" applyFont="1"/>
    <xf borderId="90" fillId="0" fontId="4" numFmtId="0" xfId="0" applyBorder="1" applyFont="1"/>
    <xf borderId="23" fillId="11" fontId="31" numFmtId="0" xfId="0" applyAlignment="1" applyBorder="1" applyFill="1" applyFont="1">
      <alignment horizontal="center" readingOrder="0" shrinkToFit="0" vertical="center" wrapText="1"/>
    </xf>
    <xf borderId="91" fillId="0" fontId="4" numFmtId="0" xfId="0" applyBorder="1" applyFont="1"/>
    <xf borderId="92" fillId="12" fontId="35" numFmtId="0" xfId="0" applyAlignment="1" applyBorder="1" applyFill="1" applyFont="1">
      <alignment horizontal="center"/>
    </xf>
    <xf borderId="0" fillId="4" fontId="16" numFmtId="0" xfId="0" applyAlignment="1" applyFont="1">
      <alignment vertical="center"/>
    </xf>
    <xf borderId="38" fillId="6" fontId="20" numFmtId="0" xfId="0" applyAlignment="1" applyBorder="1" applyFont="1">
      <alignment shrinkToFit="0" vertical="center" wrapText="1"/>
    </xf>
    <xf borderId="81" fillId="11" fontId="1" numFmtId="167" xfId="0" applyBorder="1" applyFont="1" applyNumberFormat="1"/>
    <xf borderId="23" fillId="6" fontId="20" numFmtId="165" xfId="0" applyAlignment="1" applyBorder="1" applyFont="1" applyNumberFormat="1">
      <alignment horizontal="center" shrinkToFit="0" wrapText="1"/>
    </xf>
    <xf borderId="82" fillId="6" fontId="36" numFmtId="0" xfId="0" applyAlignment="1" applyBorder="1" applyFont="1">
      <alignment shrinkToFit="0" vertical="top" wrapText="1"/>
    </xf>
    <xf borderId="63" fillId="6" fontId="20" numFmtId="9" xfId="0" applyAlignment="1" applyBorder="1" applyFont="1" applyNumberFormat="1">
      <alignment horizontal="center" shrinkToFit="0" wrapText="1"/>
    </xf>
    <xf borderId="93" fillId="10" fontId="20" numFmtId="0" xfId="0" applyAlignment="1" applyBorder="1" applyFont="1">
      <alignment horizontal="center" shrinkToFit="0" wrapText="1"/>
    </xf>
    <xf borderId="38" fillId="6" fontId="34" numFmtId="0" xfId="0" applyAlignment="1" applyBorder="1" applyFont="1">
      <alignment shrinkToFit="0" wrapText="1"/>
    </xf>
    <xf borderId="53" fillId="8" fontId="15" numFmtId="0" xfId="0" applyAlignment="1" applyBorder="1" applyFont="1">
      <alignment horizontal="left"/>
    </xf>
    <xf borderId="22" fillId="6" fontId="35" numFmtId="0" xfId="0" applyAlignment="1" applyBorder="1" applyFont="1">
      <alignment horizontal="center"/>
    </xf>
    <xf borderId="63" fillId="6" fontId="30" numFmtId="0" xfId="0" applyAlignment="1" applyBorder="1" applyFont="1">
      <alignment horizontal="center" shrinkToFit="0" vertical="center" wrapText="1"/>
    </xf>
    <xf borderId="23" fillId="6" fontId="37" numFmtId="167" xfId="0" applyAlignment="1" applyBorder="1" applyFont="1" applyNumberFormat="1">
      <alignment horizontal="center"/>
    </xf>
    <xf borderId="23" fillId="6" fontId="30" numFmtId="0" xfId="0" applyAlignment="1" applyBorder="1" applyFont="1">
      <alignment horizontal="center" shrinkToFit="0" vertical="center" wrapText="1"/>
    </xf>
    <xf borderId="63" fillId="6" fontId="36" numFmtId="0" xfId="0" applyAlignment="1" applyBorder="1" applyFont="1">
      <alignment shrinkToFit="0" vertical="top" wrapText="1"/>
    </xf>
    <xf borderId="0" fillId="6" fontId="38" numFmtId="0" xfId="0" applyAlignment="1" applyFont="1">
      <alignment shrinkToFit="0" vertical="center" wrapText="1"/>
    </xf>
    <xf borderId="94" fillId="6" fontId="20" numFmtId="0" xfId="0" applyAlignment="1" applyBorder="1" applyFont="1">
      <alignment shrinkToFit="0" vertical="top" wrapText="1"/>
    </xf>
    <xf borderId="95" fillId="0" fontId="4" numFmtId="0" xfId="0" applyBorder="1" applyFont="1"/>
    <xf borderId="96" fillId="0" fontId="4" numFmtId="0" xfId="0" applyBorder="1" applyFont="1"/>
    <xf borderId="41" fillId="6" fontId="35" numFmtId="0" xfId="0" applyAlignment="1" applyBorder="1" applyFont="1">
      <alignment horizontal="center" readingOrder="0" vertical="center"/>
    </xf>
    <xf borderId="24" fillId="6" fontId="30" numFmtId="0" xfId="0" applyAlignment="1" applyBorder="1" applyFont="1">
      <alignment horizontal="center" shrinkToFit="0" vertical="center" wrapText="1"/>
    </xf>
    <xf borderId="42" fillId="6" fontId="37" numFmtId="167" xfId="0" applyAlignment="1" applyBorder="1" applyFont="1" applyNumberFormat="1">
      <alignment horizontal="center" vertical="center"/>
    </xf>
    <xf borderId="97" fillId="6" fontId="36" numFmtId="0" xfId="0" applyAlignment="1" applyBorder="1" applyFont="1">
      <alignment horizontal="center" shrinkToFit="0" vertical="center" wrapText="1"/>
    </xf>
    <xf borderId="98" fillId="0" fontId="4" numFmtId="0" xfId="0" applyBorder="1" applyFont="1"/>
    <xf borderId="99" fillId="6" fontId="20" numFmtId="0" xfId="0" applyAlignment="1" applyBorder="1" applyFont="1">
      <alignment shrinkToFit="0" vertical="top" wrapText="1"/>
    </xf>
    <xf borderId="83" fillId="4" fontId="35" numFmtId="0" xfId="0" applyAlignment="1" applyBorder="1" applyFont="1">
      <alignment horizontal="center" vertical="center"/>
    </xf>
    <xf borderId="86" fillId="4" fontId="15" numFmtId="167" xfId="0" applyAlignment="1" applyBorder="1" applyFont="1" applyNumberFormat="1">
      <alignment horizontal="center" vertical="center"/>
    </xf>
    <xf borderId="28" fillId="4" fontId="14" numFmtId="0" xfId="0" applyBorder="1" applyFont="1"/>
    <xf borderId="26" fillId="4" fontId="14" numFmtId="0" xfId="0" applyBorder="1" applyFont="1"/>
    <xf borderId="27" fillId="4" fontId="14" numFmtId="0" xfId="0" applyBorder="1" applyFont="1"/>
    <xf borderId="41" fillId="6" fontId="30" numFmtId="0" xfId="0" applyAlignment="1" applyBorder="1" applyFont="1">
      <alignment horizontal="center" shrinkToFit="0" vertical="center" wrapText="1"/>
    </xf>
    <xf borderId="66" fillId="6" fontId="30" numFmtId="0" xfId="0" applyAlignment="1" applyBorder="1" applyFont="1">
      <alignment horizontal="center" shrinkToFit="0" vertical="center" wrapText="1"/>
    </xf>
    <xf borderId="42" fillId="6" fontId="30" numFmtId="0" xfId="0" applyAlignment="1" applyBorder="1" applyFont="1">
      <alignment horizontal="center" shrinkToFit="0" vertical="center" wrapText="1"/>
    </xf>
    <xf borderId="99" fillId="6" fontId="39" numFmtId="0" xfId="0" applyAlignment="1" applyBorder="1" applyFont="1">
      <alignment shrinkToFit="0" vertical="center" wrapText="1"/>
    </xf>
    <xf borderId="45" fillId="6" fontId="30" numFmtId="0" xfId="0" applyAlignment="1" applyBorder="1" applyFont="1">
      <alignment horizontal="center" shrinkToFit="0" vertical="center" wrapText="1"/>
    </xf>
    <xf borderId="13" fillId="4" fontId="1" numFmtId="0" xfId="0" applyBorder="1" applyFont="1"/>
    <xf borderId="100" fillId="6" fontId="39" numFmtId="0" xfId="0" applyAlignment="1" applyBorder="1" applyFont="1">
      <alignment shrinkToFit="0" vertical="center" wrapText="1"/>
    </xf>
    <xf borderId="20" fillId="4" fontId="16" numFmtId="0" xfId="0" applyAlignment="1" applyBorder="1" applyFont="1">
      <alignment vertical="center"/>
    </xf>
    <xf borderId="14" fillId="4" fontId="1" numFmtId="0" xfId="0" applyBorder="1" applyFont="1"/>
    <xf borderId="54" fillId="4" fontId="1" numFmtId="0" xfId="0" applyAlignment="1" applyBorder="1" applyFont="1">
      <alignment vertical="center"/>
    </xf>
    <xf borderId="93" fillId="7" fontId="20" numFmtId="0" xfId="0" applyAlignment="1" applyBorder="1" applyFont="1">
      <alignment horizontal="center" shrinkToFit="0" wrapText="1"/>
    </xf>
    <xf borderId="58" fillId="4" fontId="1" numFmtId="0" xfId="0" applyAlignment="1" applyBorder="1" applyFont="1">
      <alignment vertical="center"/>
    </xf>
    <xf borderId="38" fillId="6" fontId="34" numFmtId="0" xfId="0" applyAlignment="1" applyBorder="1" applyFont="1">
      <alignment readingOrder="0" shrinkToFit="0" wrapText="1"/>
    </xf>
    <xf borderId="93" fillId="8" fontId="20" numFmtId="0" xfId="0" applyAlignment="1" applyBorder="1" applyFont="1">
      <alignment horizontal="center" shrinkToFit="0" wrapText="1"/>
    </xf>
    <xf borderId="26" fillId="4" fontId="1" numFmtId="0" xfId="0" applyBorder="1" applyFont="1"/>
    <xf borderId="27" fillId="4" fontId="1" numFmtId="0" xfId="0" applyBorder="1" applyFont="1"/>
    <xf borderId="38" fillId="6" fontId="20" numFmtId="0" xfId="0" applyAlignment="1" applyBorder="1" applyFont="1">
      <alignment horizontal="left" shrinkToFit="0" vertical="center" wrapText="1"/>
    </xf>
    <xf borderId="23" fillId="6" fontId="20" numFmtId="165" xfId="0" applyAlignment="1" applyBorder="1" applyFont="1" applyNumberFormat="1">
      <alignment horizontal="center" shrinkToFit="0" vertical="center" wrapText="1"/>
    </xf>
    <xf borderId="63" fillId="6" fontId="20" numFmtId="9" xfId="0" applyAlignment="1" applyBorder="1" applyFont="1" applyNumberFormat="1">
      <alignment horizontal="center" shrinkToFit="0" vertical="center" wrapText="1"/>
    </xf>
    <xf borderId="93" fillId="6" fontId="16" numFmtId="0" xfId="0" applyAlignment="1" applyBorder="1" applyFont="1">
      <alignment horizontal="center" shrinkToFit="0" vertical="center" wrapText="1"/>
    </xf>
    <xf borderId="61" fillId="13" fontId="16" numFmtId="0" xfId="0" applyAlignment="1" applyBorder="1" applyFill="1" applyFont="1">
      <alignment horizontal="center" shrinkToFit="0" vertical="center" wrapText="1"/>
    </xf>
    <xf borderId="28" fillId="4" fontId="1" numFmtId="0" xfId="0" applyBorder="1" applyFont="1"/>
    <xf borderId="38" fillId="6" fontId="40" numFmtId="0" xfId="0" applyAlignment="1" applyBorder="1" applyFont="1">
      <alignment horizontal="center"/>
    </xf>
    <xf borderId="38" fillId="6" fontId="16" numFmtId="0" xfId="0" applyAlignment="1" applyBorder="1" applyFont="1">
      <alignment horizontal="center" shrinkToFit="0" vertical="center" wrapText="1"/>
    </xf>
    <xf borderId="63" fillId="6" fontId="16" numFmtId="9" xfId="0" applyAlignment="1" applyBorder="1" applyFont="1" applyNumberFormat="1">
      <alignment horizontal="center" shrinkToFit="0" vertical="center" wrapText="1"/>
    </xf>
    <xf borderId="47" fillId="6" fontId="16" numFmtId="0" xfId="0" applyAlignment="1" applyBorder="1" applyFont="1">
      <alignment horizontal="center" shrinkToFit="0" vertical="center" wrapText="1"/>
    </xf>
    <xf borderId="101" fillId="0" fontId="4" numFmtId="0" xfId="0" applyBorder="1" applyFont="1"/>
    <xf borderId="102" fillId="6" fontId="20" numFmtId="165" xfId="0" applyAlignment="1" applyBorder="1" applyFont="1" applyNumberFormat="1">
      <alignment horizontal="center" shrinkToFit="0" vertical="center" wrapText="1"/>
    </xf>
    <xf borderId="103" fillId="6" fontId="16" numFmtId="9" xfId="0" applyAlignment="1" applyBorder="1" applyFont="1" applyNumberFormat="1">
      <alignment horizontal="center" shrinkToFit="0" vertical="center" wrapText="1"/>
    </xf>
    <xf borderId="104" fillId="6" fontId="36" numFmtId="0" xfId="0" applyAlignment="1" applyBorder="1" applyFont="1">
      <alignment horizontal="center" shrinkToFit="0" vertical="center" wrapText="1"/>
    </xf>
    <xf borderId="105" fillId="13" fontId="16" numFmtId="0" xfId="0" applyAlignment="1" applyBorder="1" applyFont="1">
      <alignment horizontal="center" shrinkToFit="0" vertical="center" wrapText="1"/>
    </xf>
    <xf borderId="47" fillId="6" fontId="40" numFmtId="0" xfId="0" applyAlignment="1" applyBorder="1" applyFont="1">
      <alignment horizontal="center"/>
    </xf>
    <xf borderId="0" fillId="4" fontId="41" numFmtId="0" xfId="0" applyFont="1"/>
    <xf borderId="0" fillId="4" fontId="42" numFmtId="0" xfId="0" applyFont="1"/>
    <xf borderId="0" fillId="4" fontId="43" numFmtId="0" xfId="0" applyFont="1"/>
    <xf borderId="0" fillId="6" fontId="43" numFmtId="0" xfId="0" applyFont="1"/>
    <xf borderId="28" fillId="4" fontId="2" numFmtId="0" xfId="0" applyBorder="1" applyFont="1"/>
    <xf borderId="26" fillId="4" fontId="2" numFmtId="0" xfId="0" applyBorder="1" applyFont="1"/>
    <xf borderId="27" fillId="4" fontId="2" numFmtId="0" xfId="0" applyBorder="1" applyFont="1"/>
    <xf borderId="3" fillId="4" fontId="1" numFmtId="0" xfId="0" applyBorder="1" applyFont="1"/>
    <xf borderId="4" fillId="4" fontId="1" numFmtId="0" xfId="0" applyBorder="1" applyFont="1"/>
    <xf borderId="12" fillId="4" fontId="2" numFmtId="0" xfId="0" applyBorder="1" applyFont="1"/>
    <xf borderId="20" fillId="4" fontId="2" numFmtId="0" xfId="0" applyBorder="1" applyFont="1"/>
    <xf borderId="12" fillId="4" fontId="2" numFmtId="0" xfId="0" applyAlignment="1" applyBorder="1" applyFon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4" fillId="4" fontId="1" numFmtId="0" xfId="0" applyAlignment="1" applyBorder="1" applyFont="1">
      <alignment vertical="center"/>
    </xf>
    <xf borderId="11" fillId="4" fontId="2" numFmtId="0" xfId="0" applyAlignment="1" applyBorder="1" applyFont="1">
      <alignment vertical="center"/>
    </xf>
    <xf borderId="0" fillId="4" fontId="2" numFmtId="0" xfId="0" applyAlignment="1" applyFont="1">
      <alignment vertical="center"/>
    </xf>
    <xf borderId="20" fillId="4" fontId="2" numFmtId="0" xfId="0" applyAlignment="1" applyBorder="1" applyFont="1">
      <alignment vertical="center"/>
    </xf>
    <xf borderId="1" fillId="4" fontId="44" numFmtId="0" xfId="0" applyAlignment="1" applyBorder="1" applyFont="1">
      <alignment horizontal="center"/>
    </xf>
    <xf borderId="2" fillId="4" fontId="44" numFmtId="0" xfId="0" applyAlignment="1" applyBorder="1" applyFont="1">
      <alignment horizontal="center"/>
    </xf>
    <xf borderId="9" fillId="4" fontId="44" numFmtId="0" xfId="0" applyAlignment="1" applyBorder="1" applyFont="1">
      <alignment horizontal="center"/>
    </xf>
    <xf borderId="14" fillId="4" fontId="44" numFmtId="0" xfId="0" applyAlignment="1" applyBorder="1" applyFont="1">
      <alignment horizontal="center"/>
    </xf>
    <xf borderId="0" fillId="4" fontId="44" numFmtId="0" xfId="0" applyAlignment="1" applyFont="1">
      <alignment horizontal="center"/>
    </xf>
    <xf borderId="51" fillId="4" fontId="15" numFmtId="0" xfId="0" applyAlignment="1" applyBorder="1" applyFont="1">
      <alignment horizontal="center" vertical="center"/>
    </xf>
    <xf borderId="13" fillId="4" fontId="44" numFmtId="0" xfId="0" applyAlignment="1" applyBorder="1" applyFont="1">
      <alignment horizontal="center"/>
    </xf>
    <xf borderId="72" fillId="4" fontId="15" numFmtId="0" xfId="0" applyAlignment="1" applyBorder="1" applyFont="1">
      <alignment horizontal="center"/>
    </xf>
    <xf borderId="106" fillId="0" fontId="4" numFmtId="0" xfId="0" applyBorder="1" applyFont="1"/>
    <xf borderId="0" fillId="0" fontId="1" numFmtId="0" xfId="0" applyFont="1"/>
    <xf borderId="3" fillId="6" fontId="45" numFmtId="0" xfId="0" applyAlignment="1" applyBorder="1" applyFont="1">
      <alignment horizontal="center" shrinkToFit="0" vertical="center" wrapText="1"/>
    </xf>
    <xf borderId="107" fillId="4" fontId="46" numFmtId="166" xfId="0" applyAlignment="1" applyBorder="1" applyFont="1" applyNumberFormat="1">
      <alignment horizontal="center"/>
    </xf>
    <xf borderId="107" fillId="3" fontId="46" numFmtId="166" xfId="0" applyAlignment="1" applyBorder="1" applyFont="1" applyNumberFormat="1">
      <alignment horizontal="center"/>
    </xf>
    <xf borderId="70" fillId="4" fontId="46" numFmtId="165" xfId="0" applyAlignment="1" applyBorder="1" applyFont="1" applyNumberFormat="1">
      <alignment horizontal="center"/>
    </xf>
    <xf borderId="70" fillId="3" fontId="46" numFmtId="166" xfId="0" applyAlignment="1" applyBorder="1" applyFont="1" applyNumberFormat="1">
      <alignment horizontal="center"/>
    </xf>
    <xf borderId="70" fillId="3" fontId="47" numFmtId="166" xfId="0" applyAlignment="1" applyBorder="1" applyFont="1" applyNumberFormat="1">
      <alignment horizontal="center"/>
    </xf>
    <xf borderId="70" fillId="4" fontId="47" numFmtId="166" xfId="0" applyAlignment="1" applyBorder="1" applyFont="1" applyNumberFormat="1">
      <alignment horizontal="center"/>
    </xf>
    <xf borderId="71" fillId="5" fontId="47" numFmtId="166" xfId="0" applyAlignment="1" applyBorder="1" applyFont="1" applyNumberFormat="1">
      <alignment horizontal="center"/>
    </xf>
    <xf borderId="0" fillId="0" fontId="48" numFmtId="166" xfId="0" applyAlignment="1" applyFont="1" applyNumberFormat="1">
      <alignment horizontal="center"/>
    </xf>
    <xf borderId="108" fillId="6" fontId="16" numFmtId="9" xfId="0" applyAlignment="1" applyBorder="1" applyFont="1" applyNumberFormat="1">
      <alignment horizontal="center"/>
    </xf>
    <xf borderId="102" fillId="6" fontId="16" numFmtId="9" xfId="0" applyAlignment="1" applyBorder="1" applyFont="1" applyNumberFormat="1">
      <alignment horizontal="center"/>
    </xf>
    <xf borderId="109" fillId="6" fontId="16" numFmtId="9" xfId="0" applyAlignment="1" applyBorder="1" applyFont="1" applyNumberFormat="1">
      <alignment horizontal="center"/>
    </xf>
    <xf borderId="0" fillId="6" fontId="1" numFmtId="9" xfId="0" applyFont="1" applyNumberFormat="1"/>
    <xf borderId="0" fillId="0" fontId="49" numFmtId="0" xfId="0" applyAlignment="1" applyFont="1">
      <alignment vertical="center"/>
    </xf>
    <xf borderId="0" fillId="0" fontId="48" numFmtId="165" xfId="0" applyAlignment="1" applyFont="1" applyNumberFormat="1">
      <alignment horizontal="center"/>
    </xf>
    <xf borderId="0" fillId="4" fontId="50" numFmtId="0" xfId="0" applyFont="1"/>
    <xf borderId="0" fillId="4" fontId="47" numFmtId="0" xfId="0" applyAlignment="1" applyFont="1">
      <alignment horizontal="right"/>
    </xf>
    <xf borderId="0" fillId="4" fontId="47" numFmtId="14" xfId="0" applyAlignment="1" applyFont="1" applyNumberFormat="1">
      <alignment horizontal="left"/>
    </xf>
    <xf borderId="0" fillId="4" fontId="47" numFmtId="10" xfId="0" applyAlignment="1" applyFont="1" applyNumberFormat="1">
      <alignment horizontal="center" vertical="center"/>
    </xf>
    <xf borderId="0" fillId="4" fontId="35" numFmtId="0" xfId="0" applyAlignment="1" applyFont="1">
      <alignment horizontal="left" vertical="bottom"/>
    </xf>
    <xf borderId="0" fillId="4" fontId="35" numFmtId="168" xfId="0" applyAlignment="1" applyFont="1" applyNumberFormat="1">
      <alignment horizontal="center" vertical="center"/>
    </xf>
    <xf borderId="0" fillId="4" fontId="47" numFmtId="0" xfId="0" applyFont="1"/>
    <xf borderId="0" fillId="4" fontId="51" numFmtId="4" xfId="0" applyFont="1" applyNumberFormat="1"/>
    <xf borderId="0" fillId="4" fontId="38" numFmtId="0" xfId="0" applyAlignment="1" applyFont="1">
      <alignment horizontal="center" vertical="center"/>
    </xf>
    <xf borderId="38" fillId="4" fontId="52" numFmtId="0" xfId="0" applyAlignment="1" applyBorder="1" applyFont="1">
      <alignment horizontal="center"/>
    </xf>
    <xf borderId="0" fillId="6" fontId="53" numFmtId="9" xfId="0" applyFont="1" applyNumberFormat="1"/>
    <xf borderId="110" fillId="4" fontId="32" numFmtId="0" xfId="0" applyAlignment="1" applyBorder="1" applyFont="1">
      <alignment horizontal="center" shrinkToFit="0" vertical="center" wrapText="1"/>
    </xf>
    <xf borderId="35" fillId="6" fontId="54" numFmtId="0" xfId="0" applyAlignment="1" applyBorder="1" applyFont="1">
      <alignment horizontal="center" shrinkToFit="0" vertical="center" wrapText="1"/>
    </xf>
    <xf borderId="14" fillId="6" fontId="45" numFmtId="0" xfId="0" applyAlignment="1" applyBorder="1" applyFont="1">
      <alignment horizontal="center" shrinkToFit="0" vertical="center" wrapText="1"/>
    </xf>
    <xf borderId="110" fillId="0" fontId="4" numFmtId="0" xfId="0" applyBorder="1" applyFont="1"/>
    <xf borderId="0" fillId="4" fontId="2" numFmtId="169" xfId="0" applyFont="1" applyNumberFormat="1"/>
    <xf borderId="0" fillId="0" fontId="1" numFmtId="9" xfId="0" applyFont="1" applyNumberFormat="1"/>
    <xf borderId="38" fillId="6" fontId="1" numFmtId="0" xfId="0" applyAlignment="1" applyBorder="1" applyFont="1">
      <alignment horizontal="left" shrinkToFit="0" vertical="center" wrapText="1"/>
    </xf>
    <xf borderId="0" fillId="0" fontId="1" numFmtId="166" xfId="0" applyAlignment="1" applyFont="1" applyNumberFormat="1">
      <alignment horizontal="center"/>
    </xf>
    <xf borderId="111" fillId="0" fontId="4" numFmtId="0" xfId="0" applyBorder="1" applyFont="1"/>
    <xf borderId="112" fillId="4" fontId="32" numFmtId="0" xfId="0" applyAlignment="1" applyBorder="1" applyFont="1">
      <alignment horizontal="center" shrinkToFit="0" vertical="center" wrapText="1"/>
    </xf>
    <xf borderId="1" fillId="6" fontId="45" numFmtId="0" xfId="0" applyAlignment="1" applyBorder="1" applyFont="1">
      <alignment horizontal="center" shrinkToFit="0" vertical="center" wrapText="1"/>
    </xf>
    <xf borderId="1" fillId="6" fontId="2" numFmtId="0" xfId="0" applyBorder="1" applyFont="1"/>
    <xf borderId="38" fillId="8" fontId="52" numFmtId="0" xfId="0" applyAlignment="1" applyBorder="1" applyFont="1">
      <alignment horizontal="center"/>
    </xf>
    <xf borderId="35" fillId="6" fontId="55" numFmtId="0" xfId="0" applyAlignment="1" applyBorder="1" applyFont="1">
      <alignment horizontal="left" shrinkToFit="0" vertical="top" wrapText="1"/>
    </xf>
    <xf borderId="14" fillId="8" fontId="1" numFmtId="0" xfId="0" applyAlignment="1" applyBorder="1" applyFont="1">
      <alignment horizontal="right"/>
    </xf>
    <xf borderId="0" fillId="8" fontId="1" numFmtId="0" xfId="0" applyAlignment="1" applyFont="1">
      <alignment horizontal="right"/>
    </xf>
    <xf borderId="0" fillId="8" fontId="1" numFmtId="0" xfId="0" applyFont="1"/>
    <xf borderId="13" fillId="8" fontId="1" numFmtId="0" xfId="0" applyBorder="1" applyFont="1"/>
    <xf borderId="113" fillId="8" fontId="1" numFmtId="0" xfId="0" applyAlignment="1" applyBorder="1" applyFont="1">
      <alignment vertical="center"/>
    </xf>
    <xf borderId="97" fillId="6" fontId="1" numFmtId="0" xfId="0" applyAlignment="1" applyBorder="1" applyFont="1">
      <alignment vertical="center"/>
    </xf>
    <xf borderId="0" fillId="6" fontId="2" numFmtId="10" xfId="0" applyFont="1" applyNumberFormat="1"/>
    <xf borderId="114" fillId="0" fontId="4" numFmtId="0" xfId="0" applyBorder="1" applyFont="1"/>
    <xf borderId="115" fillId="0" fontId="4" numFmtId="0" xfId="0" applyBorder="1" applyFont="1"/>
    <xf borderId="116" fillId="0" fontId="4" numFmtId="0" xfId="0" applyBorder="1" applyFont="1"/>
    <xf borderId="117" fillId="0" fontId="4" numFmtId="0" xfId="0" applyBorder="1" applyFont="1"/>
    <xf borderId="118" fillId="0" fontId="4" numFmtId="0" xfId="0" applyBorder="1" applyFont="1"/>
    <xf borderId="61" fillId="0" fontId="4" numFmtId="0" xfId="0" applyBorder="1" applyFont="1"/>
    <xf borderId="14" fillId="8" fontId="1" numFmtId="0" xfId="0" applyBorder="1" applyFont="1"/>
    <xf borderId="32" fillId="8" fontId="56" numFmtId="0" xfId="0" applyAlignment="1" applyBorder="1" applyFont="1">
      <alignment horizontal="center"/>
    </xf>
    <xf borderId="63" fillId="6" fontId="1" numFmtId="0" xfId="0" applyAlignment="1" applyBorder="1" applyFont="1">
      <alignment shrinkToFit="0" vertical="top" wrapText="1"/>
    </xf>
    <xf borderId="38" fillId="8" fontId="57" numFmtId="0" xfId="0" applyAlignment="1" applyBorder="1" applyFont="1">
      <alignment horizontal="center"/>
    </xf>
    <xf borderId="63" fillId="8" fontId="57" numFmtId="0" xfId="0" applyAlignment="1" applyBorder="1" applyFont="1">
      <alignment horizontal="center"/>
    </xf>
    <xf borderId="38" fillId="6" fontId="1" numFmtId="0" xfId="0" applyAlignment="1" applyBorder="1" applyFont="1">
      <alignment horizontal="left" shrinkToFit="0" vertical="top" wrapText="1"/>
    </xf>
    <xf borderId="63" fillId="6" fontId="58" numFmtId="0" xfId="0" applyAlignment="1" applyBorder="1" applyFont="1">
      <alignment horizontal="center" shrinkToFit="0" vertical="top" wrapText="1"/>
    </xf>
    <xf borderId="0" fillId="4" fontId="59" numFmtId="0" xfId="0" applyFont="1"/>
    <xf borderId="38" fillId="8" fontId="60" numFmtId="0" xfId="0" applyAlignment="1" applyBorder="1" applyFont="1">
      <alignment horizontal="center"/>
    </xf>
    <xf borderId="63" fillId="8" fontId="52" numFmtId="0" xfId="0" applyAlignment="1" applyBorder="1" applyFont="1">
      <alignment horizontal="center"/>
    </xf>
    <xf borderId="38" fillId="6" fontId="1" numFmtId="0" xfId="0" applyAlignment="1" applyBorder="1" applyFont="1">
      <alignment horizontal="center" shrinkToFit="0" vertical="top" wrapText="1"/>
    </xf>
    <xf borderId="47" fillId="6" fontId="1" numFmtId="0" xfId="0" applyAlignment="1" applyBorder="1" applyFont="1">
      <alignment horizontal="center" shrinkToFit="0" vertical="top" wrapText="1"/>
    </xf>
    <xf borderId="103" fillId="6" fontId="58" numFmtId="0" xfId="0" applyAlignment="1" applyBorder="1" applyFont="1">
      <alignment horizontal="center" shrinkToFit="0" vertical="top" wrapText="1"/>
    </xf>
    <xf borderId="35" fillId="8" fontId="60" numFmtId="0" xfId="0" applyAlignment="1" applyBorder="1" applyFont="1">
      <alignment horizontal="center"/>
    </xf>
    <xf borderId="38" fillId="6" fontId="52" numFmtId="0" xfId="0" applyAlignment="1" applyBorder="1" applyFont="1">
      <alignment horizontal="center" shrinkToFit="0" vertical="top" wrapText="1"/>
    </xf>
    <xf borderId="63" fillId="6" fontId="52" numFmtId="0" xfId="0" applyAlignment="1" applyBorder="1" applyFont="1">
      <alignment horizontal="center" shrinkToFit="0" vertical="top" wrapText="1"/>
    </xf>
    <xf borderId="47" fillId="6" fontId="52" numFmtId="0" xfId="0" applyAlignment="1" applyBorder="1" applyFont="1">
      <alignment horizontal="center" shrinkToFit="0" vertical="top" wrapText="1"/>
    </xf>
    <xf borderId="103" fillId="6" fontId="52" numFmtId="0" xfId="0" applyAlignment="1" applyBorder="1" applyFont="1">
      <alignment horizontal="center" shrinkToFit="0" vertical="top" wrapText="1"/>
    </xf>
    <xf borderId="38" fillId="8" fontId="61" numFmtId="0" xfId="0" applyAlignment="1" applyBorder="1" applyFont="1">
      <alignment horizontal="center"/>
    </xf>
    <xf borderId="38" fillId="6" fontId="55" numFmtId="0" xfId="0" applyAlignment="1" applyBorder="1" applyFont="1">
      <alignment shrinkToFit="0" vertical="top" wrapText="1"/>
    </xf>
    <xf borderId="38" fillId="8" fontId="1" numFmtId="0" xfId="0" applyBorder="1" applyFont="1"/>
    <xf borderId="47" fillId="6" fontId="55" numFmtId="0" xfId="0" applyAlignment="1" applyBorder="1" applyFont="1">
      <alignment shrinkToFit="0" vertical="top" wrapText="1"/>
    </xf>
    <xf borderId="0" fillId="4" fontId="2" numFmtId="9" xfId="0" applyFont="1" applyNumberFormat="1"/>
    <xf borderId="119" fillId="0" fontId="4" numFmtId="0" xfId="0" applyBorder="1" applyFont="1"/>
    <xf borderId="53" fillId="4" fontId="2" numFmtId="0" xfId="0" applyBorder="1" applyFont="1"/>
    <xf borderId="54" fillId="4" fontId="2" numFmtId="0" xfId="0" applyBorder="1" applyFont="1"/>
    <xf borderId="58" fillId="4" fontId="2" numFmtId="0" xfId="0" applyBorder="1" applyFont="1"/>
  </cellXfs>
  <cellStyles count="1">
    <cellStyle xfId="0" name="Normal" builtinId="0"/>
  </cellStyles>
  <dxfs count="10"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-114300</xdr:rowOff>
    </xdr:from>
    <xdr:ext cx="18364200" cy="1371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-114300</xdr:rowOff>
    </xdr:from>
    <xdr:ext cx="14649450" cy="12668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8402300" cy="15144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78150" cy="14192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1257300</xdr:colOff>
      <xdr:row>17</xdr:row>
      <xdr:rowOff>85725</xdr:rowOff>
    </xdr:from>
    <xdr:ext cx="12439650" cy="658177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021050" cy="14287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78150" cy="14192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240375" cy="16573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54050" cy="12287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scritoriodeprojetos.com.br/eap/" TargetMode="External"/><Relationship Id="rId2" Type="http://schemas.openxmlformats.org/officeDocument/2006/relationships/hyperlink" Target="https://www.youtube.com/watch?v=1geI5bmv_8A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4.38"/>
    <col customWidth="1" min="17" max="17" width="28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46.5" customHeight="1">
      <c r="A7" s="3" t="s">
        <v>1</v>
      </c>
      <c r="B7" s="5"/>
      <c r="C7" s="5"/>
      <c r="D7" s="5"/>
      <c r="E7" s="5"/>
      <c r="F7" s="5"/>
      <c r="G7" s="5"/>
      <c r="H7" s="6"/>
      <c r="I7" s="8" t="s">
        <v>2</v>
      </c>
      <c r="J7" s="5"/>
      <c r="K7" s="5"/>
      <c r="L7" s="5"/>
      <c r="M7" s="5"/>
      <c r="N7" s="5"/>
      <c r="O7" s="5"/>
      <c r="P7" s="5"/>
      <c r="Q7" s="12"/>
    </row>
    <row r="8" ht="15.75" customHeight="1">
      <c r="A8" s="16" t="s">
        <v>3</v>
      </c>
      <c r="H8" s="17"/>
      <c r="I8" s="28" t="s">
        <v>6</v>
      </c>
      <c r="Q8" s="29"/>
    </row>
    <row r="9" ht="15.75" customHeight="1">
      <c r="A9" s="30"/>
      <c r="H9" s="17"/>
      <c r="I9" s="32"/>
      <c r="Q9" s="29"/>
    </row>
    <row r="10" ht="15.75" customHeight="1">
      <c r="A10" s="30"/>
      <c r="H10" s="17"/>
      <c r="I10" s="32"/>
      <c r="Q10" s="29"/>
    </row>
    <row r="11" ht="15.75" customHeight="1">
      <c r="A11" s="30"/>
      <c r="H11" s="17"/>
      <c r="I11" s="32"/>
      <c r="Q11" s="29"/>
    </row>
    <row r="12" ht="15.75" customHeight="1">
      <c r="A12" s="30"/>
      <c r="H12" s="17"/>
      <c r="I12" s="32"/>
      <c r="Q12" s="29"/>
    </row>
    <row r="13" ht="15.75" customHeight="1">
      <c r="A13" s="30"/>
      <c r="H13" s="17"/>
      <c r="I13" s="32"/>
      <c r="Q13" s="29"/>
    </row>
    <row r="14" ht="15.75" customHeight="1">
      <c r="A14" s="30"/>
      <c r="H14" s="17"/>
      <c r="I14" s="32"/>
      <c r="Q14" s="29"/>
    </row>
    <row r="15" ht="15.75" customHeight="1">
      <c r="A15" s="30"/>
      <c r="H15" s="17"/>
      <c r="I15" s="32"/>
      <c r="Q15" s="29"/>
    </row>
    <row r="16" ht="15.75" customHeight="1">
      <c r="A16" s="30"/>
      <c r="H16" s="17"/>
      <c r="I16" s="32"/>
      <c r="Q16" s="29"/>
    </row>
    <row r="17" ht="15.75" customHeight="1">
      <c r="A17" s="30"/>
      <c r="H17" s="17"/>
      <c r="I17" s="32"/>
      <c r="Q17" s="29"/>
    </row>
    <row r="18" ht="15.75" customHeight="1">
      <c r="A18" s="30"/>
      <c r="H18" s="17"/>
      <c r="I18" s="32"/>
      <c r="Q18" s="29"/>
    </row>
    <row r="19" ht="15.75" customHeight="1">
      <c r="A19" s="30"/>
      <c r="H19" s="17"/>
      <c r="I19" s="32"/>
      <c r="Q19" s="29"/>
    </row>
    <row r="20" ht="15.75" customHeight="1">
      <c r="A20" s="30"/>
      <c r="H20" s="17"/>
      <c r="I20" s="32"/>
      <c r="Q20" s="29"/>
    </row>
    <row r="21" ht="15.75" customHeight="1">
      <c r="A21" s="30"/>
      <c r="H21" s="17"/>
      <c r="I21" s="32"/>
      <c r="Q21" s="29"/>
    </row>
    <row r="22" ht="15.75" customHeight="1">
      <c r="A22" s="30"/>
      <c r="H22" s="17"/>
      <c r="I22" s="32"/>
      <c r="Q22" s="29"/>
    </row>
    <row r="23" ht="15.75" customHeight="1">
      <c r="A23" s="30"/>
      <c r="H23" s="17"/>
      <c r="I23" s="32"/>
      <c r="Q23" s="29"/>
    </row>
    <row r="24" ht="15.75" customHeight="1">
      <c r="A24" s="30"/>
      <c r="H24" s="17"/>
      <c r="I24" s="32"/>
      <c r="Q24" s="29"/>
    </row>
    <row r="25" ht="15.75" customHeight="1">
      <c r="A25" s="30"/>
      <c r="H25" s="17"/>
      <c r="I25" s="32"/>
      <c r="Q25" s="29"/>
    </row>
    <row r="26" ht="15.75" customHeight="1">
      <c r="A26" s="30"/>
      <c r="H26" s="17"/>
      <c r="I26" s="32"/>
      <c r="Q26" s="29"/>
    </row>
    <row r="27" ht="54.75" customHeight="1">
      <c r="A27" s="40"/>
      <c r="B27" s="41"/>
      <c r="C27" s="41"/>
      <c r="D27" s="41"/>
      <c r="E27" s="41"/>
      <c r="F27" s="41"/>
      <c r="G27" s="41"/>
      <c r="H27" s="43"/>
      <c r="I27" s="44"/>
      <c r="J27" s="41"/>
      <c r="K27" s="41"/>
      <c r="L27" s="41"/>
      <c r="M27" s="41"/>
      <c r="N27" s="41"/>
      <c r="O27" s="41"/>
      <c r="P27" s="41"/>
      <c r="Q27" s="46"/>
    </row>
    <row r="28" ht="51.75" customHeight="1">
      <c r="A28" s="48" t="s">
        <v>17</v>
      </c>
      <c r="B28" s="49"/>
      <c r="C28" s="49"/>
      <c r="D28" s="49"/>
      <c r="E28" s="49"/>
      <c r="F28" s="49"/>
      <c r="G28" s="49"/>
      <c r="H28" s="50"/>
      <c r="I28" s="51" t="s">
        <v>20</v>
      </c>
      <c r="J28" s="49"/>
      <c r="K28" s="49"/>
      <c r="L28" s="49"/>
      <c r="M28" s="49"/>
      <c r="N28" s="49"/>
      <c r="O28" s="49"/>
      <c r="P28" s="49"/>
      <c r="Q28" s="53"/>
    </row>
    <row r="29" ht="15.75" customHeight="1">
      <c r="A29" s="16" t="s">
        <v>22</v>
      </c>
      <c r="H29" s="17"/>
      <c r="I29" s="28" t="s">
        <v>26</v>
      </c>
      <c r="Q29" s="29"/>
    </row>
    <row r="30" ht="15.75" customHeight="1">
      <c r="A30" s="30"/>
      <c r="H30" s="17"/>
      <c r="I30" s="32"/>
      <c r="Q30" s="29"/>
    </row>
    <row r="31" ht="15.75" customHeight="1">
      <c r="A31" s="30"/>
      <c r="H31" s="17"/>
      <c r="I31" s="32"/>
      <c r="Q31" s="29"/>
    </row>
    <row r="32" ht="15.75" customHeight="1">
      <c r="A32" s="30"/>
      <c r="H32" s="17"/>
      <c r="I32" s="32"/>
      <c r="Q32" s="29"/>
    </row>
    <row r="33" ht="15.75" customHeight="1">
      <c r="A33" s="30"/>
      <c r="H33" s="17"/>
      <c r="I33" s="32"/>
      <c r="Q33" s="29"/>
    </row>
    <row r="34" ht="15.75" customHeight="1">
      <c r="A34" s="30"/>
      <c r="H34" s="17"/>
      <c r="I34" s="32"/>
      <c r="Q34" s="29"/>
    </row>
    <row r="35" ht="15.75" customHeight="1">
      <c r="A35" s="30"/>
      <c r="H35" s="17"/>
      <c r="I35" s="32"/>
      <c r="Q35" s="29"/>
    </row>
    <row r="36" ht="15.75" customHeight="1">
      <c r="A36" s="30"/>
      <c r="H36" s="17"/>
      <c r="I36" s="32"/>
      <c r="Q36" s="29"/>
    </row>
    <row r="37" ht="15.75" customHeight="1">
      <c r="A37" s="30"/>
      <c r="H37" s="17"/>
      <c r="I37" s="32"/>
      <c r="Q37" s="29"/>
    </row>
    <row r="38" ht="15.75" customHeight="1">
      <c r="A38" s="30"/>
      <c r="H38" s="17"/>
      <c r="I38" s="32"/>
      <c r="Q38" s="29"/>
    </row>
    <row r="39" ht="15.75" customHeight="1">
      <c r="A39" s="30"/>
      <c r="H39" s="17"/>
      <c r="I39" s="32"/>
      <c r="Q39" s="29"/>
    </row>
    <row r="40" ht="15.75" customHeight="1">
      <c r="A40" s="30"/>
      <c r="H40" s="17"/>
      <c r="I40" s="32"/>
      <c r="Q40" s="29"/>
    </row>
    <row r="41" ht="15.75" customHeight="1">
      <c r="A41" s="30"/>
      <c r="H41" s="17"/>
      <c r="I41" s="32"/>
      <c r="Q41" s="29"/>
    </row>
    <row r="42" ht="15.75" customHeight="1">
      <c r="A42" s="30"/>
      <c r="H42" s="17"/>
      <c r="I42" s="32"/>
      <c r="Q42" s="29"/>
    </row>
    <row r="43" ht="15.75" customHeight="1">
      <c r="A43" s="30"/>
      <c r="H43" s="17"/>
      <c r="I43" s="32"/>
      <c r="Q43" s="29"/>
    </row>
    <row r="44" ht="15.75" customHeight="1">
      <c r="A44" s="30"/>
      <c r="H44" s="17"/>
      <c r="I44" s="32"/>
      <c r="Q44" s="29"/>
    </row>
    <row r="45" ht="15.75" customHeight="1">
      <c r="A45" s="30"/>
      <c r="H45" s="17"/>
      <c r="I45" s="32"/>
      <c r="Q45" s="29"/>
    </row>
    <row r="46" ht="15.75" customHeight="1">
      <c r="A46" s="30"/>
      <c r="H46" s="17"/>
      <c r="I46" s="32"/>
      <c r="Q46" s="29"/>
    </row>
    <row r="47" ht="15.75" customHeight="1">
      <c r="A47" s="30"/>
      <c r="H47" s="17"/>
      <c r="I47" s="32"/>
      <c r="Q47" s="29"/>
    </row>
    <row r="48" ht="15.75" customHeight="1">
      <c r="A48" s="30"/>
      <c r="H48" s="17"/>
      <c r="I48" s="32"/>
      <c r="Q48" s="29"/>
    </row>
    <row r="49" ht="15.75" customHeight="1">
      <c r="A49" s="30"/>
      <c r="H49" s="17"/>
      <c r="I49" s="32"/>
      <c r="Q49" s="29"/>
    </row>
    <row r="50" ht="15.75" customHeight="1">
      <c r="A50" s="30"/>
      <c r="H50" s="17"/>
      <c r="I50" s="32"/>
      <c r="Q50" s="29"/>
    </row>
    <row r="51" ht="15.75" customHeight="1">
      <c r="A51" s="30"/>
      <c r="H51" s="17"/>
      <c r="I51" s="32"/>
      <c r="Q51" s="29"/>
    </row>
    <row r="52" ht="15.75" customHeight="1">
      <c r="A52" s="30"/>
      <c r="H52" s="17"/>
      <c r="I52" s="32"/>
      <c r="Q52" s="29"/>
    </row>
    <row r="53" ht="15.75" customHeight="1">
      <c r="A53" s="30"/>
      <c r="H53" s="17"/>
      <c r="I53" s="32"/>
      <c r="Q53" s="29"/>
    </row>
    <row r="54" ht="15.75" customHeight="1">
      <c r="A54" s="30"/>
      <c r="H54" s="17"/>
      <c r="I54" s="32"/>
      <c r="Q54" s="29"/>
    </row>
    <row r="55" ht="15.75" customHeight="1">
      <c r="A55" s="30"/>
      <c r="H55" s="17"/>
      <c r="I55" s="32"/>
      <c r="Q55" s="29"/>
    </row>
    <row r="56" ht="15.75" customHeight="1">
      <c r="A56" s="40"/>
      <c r="B56" s="41"/>
      <c r="C56" s="41"/>
      <c r="D56" s="41"/>
      <c r="E56" s="41"/>
      <c r="F56" s="41"/>
      <c r="G56" s="41"/>
      <c r="H56" s="43"/>
      <c r="I56" s="44"/>
      <c r="J56" s="41"/>
      <c r="K56" s="41"/>
      <c r="L56" s="41"/>
      <c r="M56" s="41"/>
      <c r="N56" s="41"/>
      <c r="O56" s="41"/>
      <c r="P56" s="41"/>
      <c r="Q56" s="46"/>
    </row>
    <row r="57" ht="43.5" customHeight="1">
      <c r="A57" s="48" t="s">
        <v>55</v>
      </c>
      <c r="B57" s="49"/>
      <c r="C57" s="49"/>
      <c r="D57" s="49"/>
      <c r="E57" s="49"/>
      <c r="F57" s="49"/>
      <c r="G57" s="49"/>
      <c r="H57" s="50"/>
      <c r="I57" s="51" t="s">
        <v>58</v>
      </c>
      <c r="J57" s="49"/>
      <c r="K57" s="49"/>
      <c r="L57" s="49"/>
      <c r="M57" s="49"/>
      <c r="N57" s="49"/>
      <c r="O57" s="49"/>
      <c r="P57" s="49"/>
      <c r="Q57" s="53"/>
    </row>
    <row r="58" ht="15.75" customHeight="1">
      <c r="A58" s="16" t="s">
        <v>59</v>
      </c>
      <c r="H58" s="17"/>
      <c r="I58" s="89" t="s">
        <v>60</v>
      </c>
      <c r="Q58" s="29"/>
    </row>
    <row r="59" ht="15.75" customHeight="1">
      <c r="A59" s="30"/>
      <c r="H59" s="17"/>
      <c r="I59" s="32"/>
      <c r="Q59" s="29"/>
    </row>
    <row r="60" ht="15.75" customHeight="1">
      <c r="A60" s="30"/>
      <c r="H60" s="17"/>
      <c r="I60" s="32"/>
      <c r="Q60" s="29"/>
    </row>
    <row r="61" ht="15.75" customHeight="1">
      <c r="A61" s="30"/>
      <c r="H61" s="17"/>
      <c r="I61" s="32"/>
      <c r="Q61" s="29"/>
    </row>
    <row r="62" ht="15.75" customHeight="1">
      <c r="A62" s="30"/>
      <c r="H62" s="17"/>
      <c r="I62" s="32"/>
      <c r="Q62" s="29"/>
    </row>
    <row r="63" ht="15.75" customHeight="1">
      <c r="A63" s="30"/>
      <c r="H63" s="17"/>
      <c r="I63" s="32"/>
      <c r="Q63" s="29"/>
    </row>
    <row r="64" ht="15.75" customHeight="1">
      <c r="A64" s="30"/>
      <c r="H64" s="17"/>
      <c r="I64" s="32"/>
      <c r="Q64" s="29"/>
    </row>
    <row r="65" ht="15.75" customHeight="1">
      <c r="A65" s="30"/>
      <c r="H65" s="17"/>
      <c r="I65" s="32"/>
      <c r="Q65" s="29"/>
    </row>
    <row r="66" ht="15.75" customHeight="1">
      <c r="A66" s="30"/>
      <c r="H66" s="17"/>
      <c r="I66" s="32"/>
      <c r="Q66" s="29"/>
    </row>
    <row r="67" ht="15.75" customHeight="1">
      <c r="A67" s="30"/>
      <c r="H67" s="17"/>
      <c r="I67" s="32"/>
      <c r="Q67" s="29"/>
    </row>
    <row r="68" ht="15.75" customHeight="1">
      <c r="A68" s="30"/>
      <c r="H68" s="17"/>
      <c r="I68" s="32"/>
      <c r="Q68" s="29"/>
    </row>
    <row r="69" ht="15.75" customHeight="1">
      <c r="A69" s="30"/>
      <c r="H69" s="17"/>
      <c r="I69" s="32"/>
      <c r="Q69" s="29"/>
    </row>
    <row r="70" ht="15.75" customHeight="1">
      <c r="A70" s="30"/>
      <c r="H70" s="17"/>
      <c r="I70" s="32"/>
      <c r="Q70" s="29"/>
    </row>
    <row r="71" ht="15.75" customHeight="1">
      <c r="A71" s="30"/>
      <c r="H71" s="17"/>
      <c r="I71" s="32"/>
      <c r="Q71" s="29"/>
    </row>
    <row r="72" ht="15.75" customHeight="1">
      <c r="A72" s="30"/>
      <c r="H72" s="17"/>
      <c r="I72" s="32"/>
      <c r="Q72" s="29"/>
    </row>
    <row r="73" ht="15.75" customHeight="1">
      <c r="A73" s="30"/>
      <c r="H73" s="17"/>
      <c r="I73" s="32"/>
      <c r="Q73" s="29"/>
    </row>
    <row r="74" ht="15.75" customHeight="1">
      <c r="A74" s="30"/>
      <c r="H74" s="17"/>
      <c r="I74" s="32"/>
      <c r="Q74" s="29"/>
    </row>
    <row r="75" ht="15.75" customHeight="1">
      <c r="A75" s="30"/>
      <c r="H75" s="17"/>
      <c r="I75" s="32"/>
      <c r="Q75" s="29"/>
    </row>
    <row r="76" ht="15.75" customHeight="1">
      <c r="A76" s="30"/>
      <c r="H76" s="17"/>
      <c r="I76" s="32"/>
      <c r="Q76" s="29"/>
    </row>
    <row r="77" ht="159.0" customHeight="1">
      <c r="A77" s="97"/>
      <c r="B77" s="98"/>
      <c r="C77" s="98"/>
      <c r="D77" s="98"/>
      <c r="E77" s="98"/>
      <c r="F77" s="98"/>
      <c r="G77" s="98"/>
      <c r="H77" s="99"/>
      <c r="I77" s="101"/>
      <c r="J77" s="98"/>
      <c r="K77" s="98"/>
      <c r="L77" s="98"/>
      <c r="M77" s="98"/>
      <c r="N77" s="98"/>
      <c r="O77" s="98"/>
      <c r="P77" s="98"/>
      <c r="Q77" s="102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9:H56"/>
    <mergeCell ref="A57:H57"/>
    <mergeCell ref="A58:H77"/>
    <mergeCell ref="I57:Q57"/>
    <mergeCell ref="I58:Q77"/>
    <mergeCell ref="A7:H7"/>
    <mergeCell ref="I7:Q7"/>
    <mergeCell ref="A8:H27"/>
    <mergeCell ref="I8:Q27"/>
    <mergeCell ref="A28:H28"/>
    <mergeCell ref="I28:Q28"/>
    <mergeCell ref="I29:Q56"/>
  </mergeCells>
  <hyperlinks>
    <hyperlink r:id="rId1" ref="I8"/>
    <hyperlink r:id="rId2" ref="I2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6.75"/>
    <col customWidth="1" min="3" max="3" width="54.13"/>
    <col customWidth="1" min="4" max="4" width="81.63"/>
    <col customWidth="1" min="5" max="5" width="24.38"/>
    <col customWidth="1" min="14" max="14" width="26.1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36.0" customHeight="1">
      <c r="A7" s="7" t="s">
        <v>0</v>
      </c>
      <c r="B7" s="9"/>
      <c r="C7" s="9"/>
      <c r="D7" s="11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ht="55.5" customHeight="1">
      <c r="A8" s="19" t="s">
        <v>4</v>
      </c>
      <c r="B8" s="21" t="s">
        <v>5</v>
      </c>
      <c r="C8" s="21" t="s">
        <v>7</v>
      </c>
      <c r="D8" s="23" t="s">
        <v>8</v>
      </c>
      <c r="E8" s="14"/>
      <c r="F8" s="14"/>
      <c r="G8" s="14"/>
      <c r="H8" s="14"/>
      <c r="I8" s="14"/>
      <c r="J8" s="14"/>
      <c r="K8" s="14"/>
      <c r="L8" s="14"/>
      <c r="M8" s="14"/>
      <c r="N8" s="14"/>
    </row>
    <row r="9">
      <c r="A9" s="26"/>
      <c r="B9" s="27" t="s">
        <v>9</v>
      </c>
      <c r="C9" s="27" t="s">
        <v>9</v>
      </c>
      <c r="D9" s="31" t="s">
        <v>10</v>
      </c>
      <c r="E9" s="33"/>
      <c r="F9" s="33"/>
      <c r="G9" s="34"/>
      <c r="H9" s="34"/>
    </row>
    <row r="10">
      <c r="A10" s="35"/>
      <c r="B10" s="36" t="s">
        <v>9</v>
      </c>
      <c r="C10" s="36" t="s">
        <v>9</v>
      </c>
      <c r="D10" s="37" t="s">
        <v>10</v>
      </c>
      <c r="E10" s="33"/>
      <c r="F10" s="33"/>
      <c r="G10" s="34"/>
      <c r="H10" s="34"/>
    </row>
    <row r="11">
      <c r="A11" s="38"/>
      <c r="B11" s="36" t="s">
        <v>11</v>
      </c>
      <c r="C11" s="36" t="s">
        <v>9</v>
      </c>
      <c r="D11" s="37" t="s">
        <v>12</v>
      </c>
      <c r="E11" s="33"/>
      <c r="F11" s="33"/>
      <c r="G11" s="34"/>
      <c r="H11" s="34"/>
    </row>
    <row r="12">
      <c r="A12" s="38"/>
      <c r="B12" s="36" t="s">
        <v>13</v>
      </c>
      <c r="C12" s="42" t="s">
        <v>14</v>
      </c>
      <c r="D12" s="37" t="s">
        <v>15</v>
      </c>
      <c r="E12" s="33"/>
      <c r="F12" s="33"/>
      <c r="G12" s="34"/>
      <c r="H12" s="34"/>
    </row>
    <row r="13">
      <c r="A13" s="38"/>
      <c r="B13" s="36" t="s">
        <v>16</v>
      </c>
      <c r="C13" s="36" t="s">
        <v>9</v>
      </c>
      <c r="D13" s="37" t="s">
        <v>12</v>
      </c>
      <c r="E13" s="33"/>
      <c r="F13" s="33"/>
      <c r="G13" s="34"/>
      <c r="H13" s="34"/>
    </row>
    <row r="14">
      <c r="A14" s="38"/>
      <c r="B14" s="36" t="s">
        <v>18</v>
      </c>
      <c r="C14" s="42" t="s">
        <v>19</v>
      </c>
      <c r="D14" s="37" t="s">
        <v>15</v>
      </c>
      <c r="E14" s="33"/>
      <c r="F14" s="33"/>
      <c r="G14" s="34"/>
      <c r="H14" s="34"/>
    </row>
    <row r="15">
      <c r="A15" s="38"/>
      <c r="B15" s="36" t="s">
        <v>21</v>
      </c>
      <c r="C15" s="36" t="s">
        <v>9</v>
      </c>
      <c r="D15" s="37" t="s">
        <v>12</v>
      </c>
      <c r="E15" s="33"/>
      <c r="F15" s="33"/>
      <c r="G15" s="34"/>
      <c r="H15" s="34"/>
    </row>
    <row r="16">
      <c r="A16" s="38"/>
      <c r="B16" s="36" t="s">
        <v>23</v>
      </c>
      <c r="C16" s="42" t="s">
        <v>24</v>
      </c>
      <c r="D16" s="37" t="s">
        <v>15</v>
      </c>
      <c r="E16" s="33"/>
      <c r="F16" s="33"/>
      <c r="G16" s="34"/>
      <c r="H16" s="34"/>
    </row>
    <row r="17">
      <c r="A17" s="38"/>
      <c r="B17" s="36" t="s">
        <v>25</v>
      </c>
      <c r="C17" s="36" t="s">
        <v>9</v>
      </c>
      <c r="D17" s="37" t="s">
        <v>12</v>
      </c>
      <c r="E17" s="33"/>
      <c r="F17" s="33"/>
      <c r="G17" s="34"/>
      <c r="H17" s="34"/>
    </row>
    <row r="18">
      <c r="A18" s="60"/>
      <c r="B18" s="36" t="s">
        <v>28</v>
      </c>
      <c r="C18" s="42" t="s">
        <v>29</v>
      </c>
      <c r="D18" s="37" t="s">
        <v>15</v>
      </c>
      <c r="E18" s="33"/>
      <c r="F18" s="33"/>
      <c r="G18" s="34"/>
      <c r="H18" s="34"/>
    </row>
    <row r="19">
      <c r="A19" s="60"/>
      <c r="B19" s="36" t="s">
        <v>31</v>
      </c>
      <c r="C19" s="36" t="s">
        <v>9</v>
      </c>
      <c r="D19" s="37" t="s">
        <v>12</v>
      </c>
      <c r="E19" s="33"/>
      <c r="F19" s="33"/>
      <c r="G19" s="34"/>
      <c r="H19" s="34"/>
    </row>
    <row r="20">
      <c r="A20" s="60"/>
      <c r="B20" s="36" t="s">
        <v>34</v>
      </c>
      <c r="C20" s="42" t="s">
        <v>35</v>
      </c>
      <c r="D20" s="37" t="s">
        <v>15</v>
      </c>
      <c r="E20" s="33"/>
      <c r="F20" s="33"/>
      <c r="G20" s="34"/>
      <c r="H20" s="34"/>
    </row>
    <row r="21">
      <c r="A21" s="38"/>
      <c r="B21" s="36" t="s">
        <v>36</v>
      </c>
      <c r="C21" s="36" t="s">
        <v>9</v>
      </c>
      <c r="D21" s="37" t="s">
        <v>12</v>
      </c>
      <c r="E21" s="33"/>
      <c r="F21" s="33"/>
      <c r="G21" s="34"/>
      <c r="H21" s="34"/>
    </row>
    <row r="22">
      <c r="A22" s="35"/>
      <c r="B22" s="36" t="s">
        <v>9</v>
      </c>
      <c r="C22" s="36" t="s">
        <v>9</v>
      </c>
      <c r="D22" s="37" t="s">
        <v>39</v>
      </c>
      <c r="E22" s="33"/>
      <c r="F22" s="33"/>
      <c r="G22" s="34"/>
      <c r="H22" s="34"/>
    </row>
    <row r="23">
      <c r="A23" s="38"/>
      <c r="B23" s="36" t="s">
        <v>42</v>
      </c>
      <c r="C23" s="42" t="s">
        <v>43</v>
      </c>
      <c r="D23" s="37" t="s">
        <v>44</v>
      </c>
      <c r="E23" s="33"/>
      <c r="F23" s="33"/>
      <c r="G23" s="34"/>
      <c r="H23" s="34"/>
    </row>
    <row r="24">
      <c r="A24" s="71"/>
      <c r="B24" s="72" t="s">
        <v>9</v>
      </c>
      <c r="C24" s="72"/>
      <c r="D24" s="75" t="s">
        <v>45</v>
      </c>
      <c r="E24" s="33"/>
      <c r="F24" s="33"/>
      <c r="G24" s="34"/>
      <c r="H24" s="34"/>
    </row>
    <row r="25">
      <c r="E25" s="33"/>
      <c r="F25" s="33"/>
      <c r="G25" s="34"/>
      <c r="H25" s="34"/>
    </row>
    <row r="26" ht="15.75" customHeight="1">
      <c r="A26" s="79"/>
      <c r="B26" s="79"/>
      <c r="C26" s="79"/>
      <c r="D26" s="79"/>
      <c r="E26" s="79"/>
      <c r="F26" s="79"/>
    </row>
    <row r="27" ht="29.25" customHeight="1">
      <c r="A27" s="80" t="s">
        <v>48</v>
      </c>
      <c r="B27" s="12"/>
    </row>
    <row r="28">
      <c r="A28" s="81" t="s">
        <v>50</v>
      </c>
      <c r="B28" s="83" t="s">
        <v>52</v>
      </c>
    </row>
    <row r="29">
      <c r="A29" s="86">
        <v>1.0</v>
      </c>
      <c r="B29" s="37" t="s">
        <v>54</v>
      </c>
    </row>
    <row r="30">
      <c r="A30" s="86">
        <v>2.0</v>
      </c>
      <c r="B30" s="37" t="s">
        <v>57</v>
      </c>
    </row>
    <row r="31">
      <c r="A31" s="86">
        <v>3.0</v>
      </c>
      <c r="B31" s="37"/>
    </row>
    <row r="32">
      <c r="A32" s="86">
        <v>4.0</v>
      </c>
      <c r="B32" s="37"/>
    </row>
    <row r="33">
      <c r="A33" s="86">
        <v>5.0</v>
      </c>
      <c r="B33" s="37"/>
    </row>
    <row r="34">
      <c r="A34" s="86">
        <v>6.0</v>
      </c>
      <c r="B34" s="37"/>
    </row>
    <row r="35" ht="15.75" customHeight="1">
      <c r="A35" s="86">
        <v>7.0</v>
      </c>
      <c r="B35" s="37"/>
    </row>
    <row r="36">
      <c r="A36" s="86">
        <v>8.0</v>
      </c>
      <c r="B36" s="37"/>
    </row>
    <row r="37">
      <c r="A37" s="86">
        <v>9.0</v>
      </c>
      <c r="B37" s="37"/>
    </row>
    <row r="38" ht="15.75" customHeight="1">
      <c r="A38" s="88">
        <v>10.0</v>
      </c>
      <c r="B38" s="7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</sheetData>
  <mergeCells count="2">
    <mergeCell ref="A7:D7"/>
    <mergeCell ref="A27:B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4.25"/>
    <col customWidth="1" min="3" max="3" width="15.75"/>
    <col customWidth="1" min="5" max="5" width="10.5"/>
    <col customWidth="1" min="6" max="7" width="18.63"/>
    <col customWidth="1" min="8" max="10" width="14.75"/>
    <col customWidth="1" min="11" max="11" width="15.38"/>
    <col customWidth="1" min="12" max="12" width="14.38"/>
    <col customWidth="1" min="13" max="13" width="16.0"/>
    <col customWidth="1" min="14" max="14" width="34.88"/>
    <col customWidth="1" min="15" max="15" width="17.5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3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5.7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9.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9.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52"/>
      <c r="P7" s="2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9.5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8"/>
      <c r="P8" s="2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4.0" customHeight="1">
      <c r="A9" s="59"/>
      <c r="B9" s="59" t="s">
        <v>27</v>
      </c>
      <c r="C9" s="61" t="s">
        <v>30</v>
      </c>
      <c r="D9" s="62"/>
      <c r="E9" s="62"/>
      <c r="F9" s="63"/>
      <c r="G9" s="56"/>
      <c r="H9" s="59" t="s">
        <v>32</v>
      </c>
      <c r="J9" s="61" t="s">
        <v>33</v>
      </c>
      <c r="K9" s="62"/>
      <c r="L9" s="62"/>
      <c r="M9" s="62"/>
      <c r="N9" s="62"/>
      <c r="O9" s="63"/>
      <c r="P9" s="2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4.0" customHeight="1">
      <c r="A10" s="59"/>
      <c r="B10" s="59" t="s">
        <v>37</v>
      </c>
      <c r="C10" s="64" t="s">
        <v>38</v>
      </c>
      <c r="D10" s="65"/>
      <c r="E10" s="65"/>
      <c r="F10" s="66"/>
      <c r="G10" s="56"/>
      <c r="H10" s="67" t="s">
        <v>40</v>
      </c>
      <c r="J10" s="68" t="s">
        <v>41</v>
      </c>
      <c r="K10" s="69"/>
      <c r="L10" s="69"/>
      <c r="M10" s="69"/>
      <c r="N10" s="69"/>
      <c r="O10" s="70"/>
      <c r="P10" s="2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4.0" customHeight="1">
      <c r="A11" s="59"/>
      <c r="C11" s="73"/>
      <c r="D11" s="74"/>
      <c r="E11" s="74"/>
      <c r="F11" s="76"/>
      <c r="G11" s="56"/>
      <c r="H11" s="77" t="s">
        <v>46</v>
      </c>
      <c r="J11" s="78" t="s">
        <v>47</v>
      </c>
      <c r="K11" s="65"/>
      <c r="L11" s="65"/>
      <c r="M11" s="65"/>
      <c r="N11" s="65"/>
      <c r="O11" s="66"/>
      <c r="P11" s="2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4.0" customHeight="1">
      <c r="A12" s="59"/>
      <c r="B12" s="59" t="s">
        <v>49</v>
      </c>
      <c r="C12" s="82" t="s">
        <v>51</v>
      </c>
      <c r="D12" s="84"/>
      <c r="E12" s="84"/>
      <c r="F12" s="85"/>
      <c r="G12" s="56"/>
      <c r="H12" s="67" t="s">
        <v>53</v>
      </c>
      <c r="J12" s="82" t="s">
        <v>56</v>
      </c>
      <c r="K12" s="84"/>
      <c r="L12" s="84"/>
      <c r="M12" s="84"/>
      <c r="N12" s="84"/>
      <c r="O12" s="85"/>
      <c r="P12" s="2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87"/>
      <c r="B13" s="87"/>
      <c r="C13" s="87"/>
      <c r="D13" s="87"/>
      <c r="E13" s="87"/>
      <c r="F13" s="87"/>
      <c r="G13" s="56"/>
      <c r="H13" s="56"/>
      <c r="I13" s="56"/>
      <c r="J13" s="56"/>
      <c r="K13" s="56"/>
      <c r="L13" s="56"/>
      <c r="M13" s="56"/>
      <c r="N13" s="56"/>
      <c r="O13" s="58"/>
      <c r="P13" s="2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87"/>
      <c r="B14" s="87"/>
      <c r="C14" s="87"/>
      <c r="D14" s="87"/>
      <c r="E14" s="87"/>
      <c r="F14" s="87"/>
      <c r="G14" s="56"/>
      <c r="H14" s="56"/>
      <c r="I14" s="56"/>
      <c r="J14" s="56"/>
      <c r="K14" s="56"/>
      <c r="L14" s="56"/>
      <c r="M14" s="56"/>
      <c r="N14" s="56"/>
      <c r="O14" s="58"/>
      <c r="P14" s="25"/>
      <c r="Q14" s="15">
        <v>0.0</v>
      </c>
      <c r="R14" s="15"/>
      <c r="S14" s="15"/>
      <c r="T14" s="15"/>
      <c r="U14" s="15"/>
      <c r="V14" s="15"/>
      <c r="W14" s="15"/>
      <c r="X14" s="15"/>
      <c r="Y14" s="15"/>
      <c r="Z14" s="15"/>
    </row>
    <row r="15" ht="21.75" customHeight="1">
      <c r="A15" s="93" t="s">
        <v>62</v>
      </c>
      <c r="B15" s="94"/>
      <c r="C15" s="94"/>
      <c r="D15" s="94"/>
      <c r="E15" s="95"/>
      <c r="F15" s="95"/>
      <c r="G15" s="96"/>
      <c r="H15" s="96"/>
      <c r="I15" s="96"/>
      <c r="J15" s="96"/>
      <c r="K15" s="96"/>
      <c r="L15" s="96"/>
      <c r="M15" s="96"/>
      <c r="N15" s="96"/>
      <c r="O15" s="100"/>
      <c r="P15" s="2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03" t="s">
        <v>63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2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30"/>
      <c r="O17" s="29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54.75" customHeight="1">
      <c r="A18" s="30"/>
      <c r="O18" s="29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30"/>
      <c r="O19" s="29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30"/>
      <c r="O20" s="29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30"/>
      <c r="O21" s="29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30"/>
      <c r="O22" s="29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97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102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05"/>
      <c r="B24" s="105"/>
      <c r="C24" s="105"/>
      <c r="D24" s="105"/>
      <c r="E24" s="105"/>
      <c r="F24" s="87"/>
      <c r="G24" s="56"/>
      <c r="H24" s="56"/>
      <c r="I24" s="56"/>
      <c r="J24" s="56"/>
      <c r="K24" s="56"/>
      <c r="L24" s="56"/>
      <c r="M24" s="56"/>
      <c r="N24" s="56"/>
      <c r="O24" s="58"/>
      <c r="P24" s="2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0.25" customHeight="1">
      <c r="A25" s="106" t="s">
        <v>64</v>
      </c>
      <c r="B25" s="94"/>
      <c r="C25" s="94"/>
      <c r="D25" s="94"/>
      <c r="E25" s="94"/>
      <c r="F25" s="94"/>
      <c r="G25" s="107"/>
      <c r="H25" s="108"/>
      <c r="I25" s="109" t="s">
        <v>65</v>
      </c>
      <c r="J25" s="94"/>
      <c r="K25" s="94"/>
      <c r="L25" s="94"/>
      <c r="M25" s="94"/>
      <c r="N25" s="94"/>
      <c r="O25" s="107"/>
      <c r="P25" s="2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3.25" customHeight="1">
      <c r="A26" s="110" t="s">
        <v>66</v>
      </c>
      <c r="B26" s="111" t="s">
        <v>67</v>
      </c>
      <c r="C26" s="112" t="s">
        <v>68</v>
      </c>
      <c r="D26" s="74"/>
      <c r="E26" s="113"/>
      <c r="F26" s="112" t="s">
        <v>69</v>
      </c>
      <c r="G26" s="114"/>
      <c r="H26" s="115"/>
      <c r="I26" s="116" t="s">
        <v>70</v>
      </c>
      <c r="J26" s="5"/>
      <c r="K26" s="5"/>
      <c r="L26" s="5"/>
      <c r="M26" s="5"/>
      <c r="N26" s="5"/>
      <c r="O26" s="12"/>
      <c r="P26" s="2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17">
        <v>1.0</v>
      </c>
      <c r="B27" s="118" t="s">
        <v>71</v>
      </c>
      <c r="C27" s="119" t="s">
        <v>72</v>
      </c>
      <c r="D27" s="69"/>
      <c r="E27" s="120"/>
      <c r="F27" s="122" t="s">
        <v>73</v>
      </c>
      <c r="G27" s="123"/>
      <c r="H27" s="124"/>
      <c r="I27" s="30"/>
      <c r="O27" s="29"/>
      <c r="P27" s="2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17">
        <v>2.0</v>
      </c>
      <c r="B28" s="118" t="s">
        <v>74</v>
      </c>
      <c r="C28" s="119" t="s">
        <v>75</v>
      </c>
      <c r="D28" s="69"/>
      <c r="E28" s="120"/>
      <c r="F28" s="122" t="s">
        <v>76</v>
      </c>
      <c r="G28" s="123"/>
      <c r="H28" s="124"/>
      <c r="I28" s="30"/>
      <c r="O28" s="29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17">
        <v>3.0</v>
      </c>
      <c r="B29" s="118" t="s">
        <v>74</v>
      </c>
      <c r="C29" s="119" t="s">
        <v>77</v>
      </c>
      <c r="D29" s="69"/>
      <c r="E29" s="120"/>
      <c r="F29" s="122" t="s">
        <v>78</v>
      </c>
      <c r="G29" s="123"/>
      <c r="H29" s="124"/>
      <c r="I29" s="30"/>
      <c r="O29" s="29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17">
        <v>4.0</v>
      </c>
      <c r="B30" s="118" t="s">
        <v>74</v>
      </c>
      <c r="C30" s="119" t="s">
        <v>79</v>
      </c>
      <c r="D30" s="69"/>
      <c r="E30" s="120"/>
      <c r="F30" s="122" t="s">
        <v>80</v>
      </c>
      <c r="G30" s="123"/>
      <c r="H30" s="124"/>
      <c r="I30" s="30"/>
      <c r="O30" s="29"/>
      <c r="P30" s="2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17">
        <v>5.0</v>
      </c>
      <c r="B31" s="118" t="s">
        <v>71</v>
      </c>
      <c r="C31" s="119" t="s">
        <v>81</v>
      </c>
      <c r="D31" s="69"/>
      <c r="E31" s="120"/>
      <c r="F31" s="122" t="s">
        <v>78</v>
      </c>
      <c r="G31" s="123"/>
      <c r="H31" s="124"/>
      <c r="I31" s="30"/>
      <c r="O31" s="29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17">
        <v>6.0</v>
      </c>
      <c r="B32" s="118" t="s">
        <v>82</v>
      </c>
      <c r="C32" s="119" t="s">
        <v>83</v>
      </c>
      <c r="D32" s="69"/>
      <c r="E32" s="120"/>
      <c r="F32" s="122" t="s">
        <v>84</v>
      </c>
      <c r="G32" s="123"/>
      <c r="H32" s="124"/>
      <c r="I32" s="30"/>
      <c r="O32" s="29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17">
        <v>7.0</v>
      </c>
      <c r="B33" s="127"/>
      <c r="C33" s="128"/>
      <c r="D33" s="69"/>
      <c r="E33" s="120"/>
      <c r="F33" s="129"/>
      <c r="G33" s="123"/>
      <c r="H33" s="124"/>
      <c r="I33" s="30"/>
      <c r="O33" s="29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17">
        <v>8.0</v>
      </c>
      <c r="B34" s="127"/>
      <c r="C34" s="131"/>
      <c r="D34" s="69"/>
      <c r="E34" s="120"/>
      <c r="F34" s="129"/>
      <c r="G34" s="123"/>
      <c r="H34" s="124"/>
      <c r="I34" s="30"/>
      <c r="O34" s="29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17">
        <v>9.0</v>
      </c>
      <c r="B35" s="127"/>
      <c r="C35" s="128"/>
      <c r="D35" s="69"/>
      <c r="E35" s="120"/>
      <c r="F35" s="129"/>
      <c r="G35" s="123"/>
      <c r="H35" s="108"/>
      <c r="I35" s="30"/>
      <c r="O35" s="29"/>
      <c r="P35" s="2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32">
        <v>10.0</v>
      </c>
      <c r="B36" s="133"/>
      <c r="C36" s="134"/>
      <c r="D36" s="136"/>
      <c r="E36" s="137"/>
      <c r="F36" s="139"/>
      <c r="G36" s="140"/>
      <c r="H36" s="141"/>
      <c r="I36" s="97"/>
      <c r="J36" s="98"/>
      <c r="K36" s="98"/>
      <c r="L36" s="98"/>
      <c r="M36" s="98"/>
      <c r="N36" s="98"/>
      <c r="O36" s="102"/>
      <c r="P36" s="2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9.25" customHeight="1">
      <c r="A37" s="105"/>
      <c r="H37" s="142"/>
      <c r="I37" s="143"/>
      <c r="J37" s="143"/>
      <c r="K37" s="143"/>
      <c r="L37" s="143"/>
      <c r="M37" s="143"/>
      <c r="N37" s="143"/>
      <c r="O37" s="144"/>
      <c r="P37" s="2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H38" s="146"/>
      <c r="I38" s="143"/>
      <c r="J38" s="143"/>
      <c r="K38" s="143"/>
      <c r="L38" s="143"/>
      <c r="M38" s="143"/>
      <c r="N38" s="143"/>
      <c r="O38" s="144"/>
      <c r="P38" s="2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4.0" customHeight="1">
      <c r="A39" s="56"/>
      <c r="B39" s="56"/>
      <c r="C39" s="56"/>
      <c r="D39" s="56"/>
      <c r="E39" s="152" t="s">
        <v>85</v>
      </c>
      <c r="F39" s="94"/>
      <c r="G39" s="94"/>
      <c r="H39" s="94"/>
      <c r="I39" s="94"/>
      <c r="J39" s="94"/>
      <c r="K39" s="94"/>
      <c r="L39" s="94"/>
      <c r="M39" s="94"/>
      <c r="N39" s="94"/>
      <c r="O39" s="107"/>
      <c r="P39" s="2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4.75" customHeight="1">
      <c r="A40" s="56"/>
      <c r="B40" s="56"/>
      <c r="C40" s="56"/>
      <c r="D40" s="56"/>
      <c r="E40" s="155" t="s">
        <v>66</v>
      </c>
      <c r="F40" s="156" t="s">
        <v>86</v>
      </c>
      <c r="G40" s="113"/>
      <c r="H40" s="157" t="s">
        <v>87</v>
      </c>
      <c r="I40" s="157" t="s">
        <v>88</v>
      </c>
      <c r="J40" s="157" t="s">
        <v>89</v>
      </c>
      <c r="K40" s="156" t="s">
        <v>90</v>
      </c>
      <c r="L40" s="157" t="s">
        <v>91</v>
      </c>
      <c r="M40" s="157" t="s">
        <v>92</v>
      </c>
      <c r="N40" s="156" t="s">
        <v>93</v>
      </c>
      <c r="O40" s="159" t="s">
        <v>94</v>
      </c>
      <c r="P40" s="2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42.0" customHeight="1">
      <c r="A41" s="56"/>
      <c r="B41" s="56"/>
      <c r="C41" s="56"/>
      <c r="D41" s="56"/>
      <c r="E41" s="160">
        <v>1.0</v>
      </c>
      <c r="F41" s="161" t="s">
        <v>95</v>
      </c>
      <c r="G41" s="120"/>
      <c r="H41" s="162" t="s">
        <v>96</v>
      </c>
      <c r="I41" s="162">
        <v>4.0</v>
      </c>
      <c r="J41" s="162">
        <v>5.0</v>
      </c>
      <c r="K41" s="161">
        <v>20.0</v>
      </c>
      <c r="L41" s="163" t="s">
        <v>97</v>
      </c>
      <c r="M41" s="162" t="s">
        <v>98</v>
      </c>
      <c r="N41" s="161" t="s">
        <v>99</v>
      </c>
      <c r="O41" s="164" t="s">
        <v>100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42.0" customHeight="1">
      <c r="A42" s="56"/>
      <c r="B42" s="56"/>
      <c r="C42" s="56"/>
      <c r="D42" s="56"/>
      <c r="E42" s="160">
        <v>2.0</v>
      </c>
      <c r="F42" s="161" t="s">
        <v>105</v>
      </c>
      <c r="G42" s="120"/>
      <c r="H42" s="162" t="s">
        <v>96</v>
      </c>
      <c r="I42" s="162">
        <v>3.0</v>
      </c>
      <c r="J42" s="162">
        <v>3.0</v>
      </c>
      <c r="K42" s="161">
        <v>12.0</v>
      </c>
      <c r="L42" s="163" t="s">
        <v>97</v>
      </c>
      <c r="M42" s="162" t="s">
        <v>98</v>
      </c>
      <c r="N42" s="161" t="s">
        <v>111</v>
      </c>
      <c r="O42" s="164" t="s">
        <v>112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42.0" customHeight="1">
      <c r="A43" s="56"/>
      <c r="B43" s="56"/>
      <c r="C43" s="56"/>
      <c r="D43" s="56"/>
      <c r="E43" s="160">
        <v>3.0</v>
      </c>
      <c r="F43" s="161" t="s">
        <v>114</v>
      </c>
      <c r="G43" s="120"/>
      <c r="H43" s="162" t="s">
        <v>96</v>
      </c>
      <c r="I43" s="162">
        <v>3.0</v>
      </c>
      <c r="J43" s="162">
        <v>3.0</v>
      </c>
      <c r="K43" s="161">
        <v>12.0</v>
      </c>
      <c r="L43" s="163" t="s">
        <v>97</v>
      </c>
      <c r="M43" s="162" t="s">
        <v>98</v>
      </c>
      <c r="N43" s="161" t="s">
        <v>119</v>
      </c>
      <c r="O43" s="164" t="s">
        <v>120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42.0" customHeight="1">
      <c r="A44" s="56"/>
      <c r="B44" s="56"/>
      <c r="C44" s="56"/>
      <c r="D44" s="56"/>
      <c r="E44" s="160">
        <v>4.0</v>
      </c>
      <c r="F44" s="161" t="s">
        <v>121</v>
      </c>
      <c r="G44" s="120"/>
      <c r="H44" s="162" t="s">
        <v>96</v>
      </c>
      <c r="I44" s="162">
        <v>3.0</v>
      </c>
      <c r="J44" s="162">
        <v>3.0</v>
      </c>
      <c r="K44" s="161">
        <v>9.0</v>
      </c>
      <c r="L44" s="189" t="s">
        <v>124</v>
      </c>
      <c r="M44" s="162" t="s">
        <v>98</v>
      </c>
      <c r="N44" s="161" t="s">
        <v>125</v>
      </c>
      <c r="O44" s="164" t="s">
        <v>127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42.0" customHeight="1">
      <c r="A45" s="192"/>
      <c r="B45" s="192"/>
      <c r="C45" s="192"/>
      <c r="D45" s="192"/>
      <c r="E45" s="160">
        <v>5.0</v>
      </c>
      <c r="F45" s="161" t="s">
        <v>129</v>
      </c>
      <c r="G45" s="120"/>
      <c r="H45" s="162" t="s">
        <v>96</v>
      </c>
      <c r="I45" s="162">
        <v>3.0</v>
      </c>
      <c r="J45" s="162">
        <v>5.0</v>
      </c>
      <c r="K45" s="161">
        <v>15.0</v>
      </c>
      <c r="L45" s="163" t="s">
        <v>97</v>
      </c>
      <c r="M45" s="162" t="s">
        <v>98</v>
      </c>
      <c r="N45" s="161" t="s">
        <v>132</v>
      </c>
      <c r="O45" s="164" t="s">
        <v>134</v>
      </c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42.0" customHeight="1">
      <c r="A46" s="192"/>
      <c r="B46" s="192"/>
      <c r="C46" s="192"/>
      <c r="D46" s="192"/>
      <c r="E46" s="160">
        <v>6.0</v>
      </c>
      <c r="F46" s="202"/>
      <c r="G46" s="120"/>
      <c r="H46" s="204"/>
      <c r="I46" s="204"/>
      <c r="J46" s="204"/>
      <c r="K46" s="202">
        <f t="shared" ref="K46:K50" si="1">I46*J46</f>
        <v>0</v>
      </c>
      <c r="L46" s="204" t="str">
        <f t="shared" ref="L46:L50" si="2">IF(K46&lt;5,"Risco pequeno",IF(K46&lt;10,"Risco moderado",IF(K46&lt;28,"Risco alto","Risco crítico")))</f>
        <v>Risco pequeno</v>
      </c>
      <c r="M46" s="204"/>
      <c r="N46" s="202"/>
      <c r="O46" s="211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42.0" customHeight="1">
      <c r="A47" s="192"/>
      <c r="B47" s="192"/>
      <c r="C47" s="192"/>
      <c r="D47" s="192"/>
      <c r="E47" s="160">
        <v>7.0</v>
      </c>
      <c r="F47" s="202"/>
      <c r="G47" s="120"/>
      <c r="H47" s="204"/>
      <c r="I47" s="204"/>
      <c r="J47" s="204"/>
      <c r="K47" s="202">
        <f t="shared" si="1"/>
        <v>0</v>
      </c>
      <c r="L47" s="204" t="str">
        <f t="shared" si="2"/>
        <v>Risco pequeno</v>
      </c>
      <c r="M47" s="204"/>
      <c r="N47" s="202"/>
      <c r="O47" s="211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42.0" customHeight="1">
      <c r="A48" s="192"/>
      <c r="B48" s="192"/>
      <c r="C48" s="192"/>
      <c r="D48" s="192"/>
      <c r="E48" s="160">
        <v>8.0</v>
      </c>
      <c r="F48" s="202"/>
      <c r="G48" s="120"/>
      <c r="H48" s="204"/>
      <c r="I48" s="204"/>
      <c r="J48" s="204"/>
      <c r="K48" s="202">
        <f t="shared" si="1"/>
        <v>0</v>
      </c>
      <c r="L48" s="204" t="str">
        <f t="shared" si="2"/>
        <v>Risco pequeno</v>
      </c>
      <c r="M48" s="204"/>
      <c r="N48" s="202"/>
      <c r="O48" s="211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42.0" customHeight="1">
      <c r="A49" s="192"/>
      <c r="B49" s="192"/>
      <c r="C49" s="192"/>
      <c r="D49" s="192"/>
      <c r="E49" s="160">
        <v>9.0</v>
      </c>
      <c r="F49" s="202"/>
      <c r="G49" s="120"/>
      <c r="H49" s="204"/>
      <c r="I49" s="204"/>
      <c r="J49" s="204"/>
      <c r="K49" s="202">
        <f t="shared" si="1"/>
        <v>0</v>
      </c>
      <c r="L49" s="204" t="str">
        <f t="shared" si="2"/>
        <v>Risco pequeno</v>
      </c>
      <c r="M49" s="204"/>
      <c r="N49" s="202"/>
      <c r="O49" s="211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42.0" customHeight="1">
      <c r="A50" s="192"/>
      <c r="B50" s="192"/>
      <c r="C50" s="192"/>
      <c r="D50" s="192"/>
      <c r="E50" s="221">
        <v>10.0</v>
      </c>
      <c r="F50" s="222"/>
      <c r="G50" s="137"/>
      <c r="H50" s="223"/>
      <c r="I50" s="223"/>
      <c r="J50" s="223"/>
      <c r="K50" s="222">
        <f t="shared" si="1"/>
        <v>0</v>
      </c>
      <c r="L50" s="204" t="str">
        <f t="shared" si="2"/>
        <v>Risco pequeno</v>
      </c>
      <c r="M50" s="223"/>
      <c r="N50" s="222"/>
      <c r="O50" s="2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228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192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228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4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4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4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4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4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30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2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52">
    <mergeCell ref="C33:E33"/>
    <mergeCell ref="F33:G33"/>
    <mergeCell ref="C34:E34"/>
    <mergeCell ref="F34:G34"/>
    <mergeCell ref="C35:E35"/>
    <mergeCell ref="F35:G35"/>
    <mergeCell ref="C36:E36"/>
    <mergeCell ref="F36:G36"/>
    <mergeCell ref="A37:G38"/>
    <mergeCell ref="C26:E26"/>
    <mergeCell ref="F26:G26"/>
    <mergeCell ref="I26:O36"/>
    <mergeCell ref="C27:E27"/>
    <mergeCell ref="F27:G27"/>
    <mergeCell ref="C28:E28"/>
    <mergeCell ref="F28:G28"/>
    <mergeCell ref="F46:G46"/>
    <mergeCell ref="F47:G47"/>
    <mergeCell ref="F48:G48"/>
    <mergeCell ref="F49:G49"/>
    <mergeCell ref="F50:G50"/>
    <mergeCell ref="E39:O39"/>
    <mergeCell ref="F40:G40"/>
    <mergeCell ref="F41:G41"/>
    <mergeCell ref="F42:G42"/>
    <mergeCell ref="F43:G43"/>
    <mergeCell ref="F44:G44"/>
    <mergeCell ref="F45:G45"/>
    <mergeCell ref="H11:I11"/>
    <mergeCell ref="J11:O11"/>
    <mergeCell ref="C9:F9"/>
    <mergeCell ref="H9:I9"/>
    <mergeCell ref="J9:O9"/>
    <mergeCell ref="B10:B11"/>
    <mergeCell ref="C10:F11"/>
    <mergeCell ref="H10:I10"/>
    <mergeCell ref="J10:O10"/>
    <mergeCell ref="C12:F12"/>
    <mergeCell ref="H12:I12"/>
    <mergeCell ref="J12:O12"/>
    <mergeCell ref="A15:D15"/>
    <mergeCell ref="A16:O23"/>
    <mergeCell ref="A25:G25"/>
    <mergeCell ref="I25:O25"/>
    <mergeCell ref="C29:E29"/>
    <mergeCell ref="F29:G29"/>
    <mergeCell ref="C30:E30"/>
    <mergeCell ref="F30:G30"/>
    <mergeCell ref="C31:E31"/>
    <mergeCell ref="F31:G31"/>
    <mergeCell ref="C32:E32"/>
    <mergeCell ref="F32:G32"/>
  </mergeCells>
  <conditionalFormatting sqref="L41:L50">
    <cfRule type="containsText" dxfId="2" priority="1" operator="containsText" text="Risco Pequeno">
      <formula>NOT(ISERROR(SEARCH(("Risco Pequeno"),(L41))))</formula>
    </cfRule>
  </conditionalFormatting>
  <conditionalFormatting sqref="L41:L50">
    <cfRule type="containsText" dxfId="3" priority="2" operator="containsText" text="Risco moderado">
      <formula>NOT(ISERROR(SEARCH(("Risco moderado"),(L41))))</formula>
    </cfRule>
  </conditionalFormatting>
  <conditionalFormatting sqref="L41:L50">
    <cfRule type="containsText" dxfId="4" priority="3" operator="containsText" text="Risco alto">
      <formula>NOT(ISERROR(SEARCH(("Risco alto"),(L41))))</formula>
    </cfRule>
  </conditionalFormatting>
  <conditionalFormatting sqref="L41:L50">
    <cfRule type="containsText" dxfId="5" priority="4" operator="containsText" text="Risco crítico">
      <formula>NOT(ISERROR(SEARCH(("Risco crítico"),(L41))))</formula>
    </cfRule>
  </conditionalFormatting>
  <dataValidations>
    <dataValidation type="list" allowBlank="1" showErrorMessage="1" sqref="I41:I50">
      <formula1>"1,2,3,4,5"</formula1>
    </dataValidation>
    <dataValidation type="list" allowBlank="1" showErrorMessage="1" sqref="M41:M50">
      <formula1>"Aceitar o risco,Reduzir o risco,Transferir o risco,Evitar o risco"</formula1>
    </dataValidation>
    <dataValidation type="list" allowBlank="1" showErrorMessage="1" sqref="B27:B36">
      <formula1>"Tenente-Coronel,Major,Capitão,1°Tenente,2°Tenente,Subtenente,1° Sargento,2° Sargento,3° Sargento,Cabo,Soldado"</formula1>
    </dataValidation>
    <dataValidation type="list" allowBlank="1" showErrorMessage="1" sqref="J41:J50">
      <formula1>"1,3,5,7,10"</formula1>
    </dataValidation>
    <dataValidation type="list" allowBlank="1" showErrorMessage="1" sqref="H41:H50">
      <formula1>"Estratégico,Operacional,Orçamentário,Reputação,Integridade,Fiscal,Conformidade"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75"/>
    <col customWidth="1" min="2" max="2" width="24.25"/>
    <col customWidth="1" min="3" max="3" width="15.75"/>
    <col customWidth="1" min="8" max="8" width="25.25"/>
    <col customWidth="1" min="15" max="15" width="9.5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0"/>
      <c r="P1" s="13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5.75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4"/>
      <c r="P2" s="2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18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4"/>
      <c r="P3" s="2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18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4"/>
      <c r="P4" s="2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8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4"/>
      <c r="P5" s="2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9.5" customHeight="1">
      <c r="A6" s="39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45"/>
      <c r="P6" s="2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9.5" customHeight="1">
      <c r="A7" s="39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45"/>
      <c r="P7" s="2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9.5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7"/>
      <c r="P8" s="2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5.5" customHeight="1">
      <c r="A9" s="54"/>
      <c r="B9" s="59" t="s">
        <v>27</v>
      </c>
      <c r="C9" s="61" t="str">
        <f>'Identificação do projeto'!C9</f>
        <v>Coronel BM Moisés Magalhães de Sousa</v>
      </c>
      <c r="D9" s="62"/>
      <c r="E9" s="62"/>
      <c r="F9" s="63"/>
      <c r="G9" s="56"/>
      <c r="H9" s="59" t="s">
        <v>32</v>
      </c>
      <c r="I9" s="61" t="str">
        <f>'Identificação do projeto'!J9</f>
        <v>Aperfeiçoamento Tecnológico do CBMMG</v>
      </c>
      <c r="J9" s="62"/>
      <c r="K9" s="62"/>
      <c r="L9" s="62"/>
      <c r="M9" s="62"/>
      <c r="N9" s="63"/>
      <c r="O9" s="57"/>
      <c r="P9" s="2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5.5" customHeight="1">
      <c r="A10" s="54"/>
      <c r="B10" s="59" t="s">
        <v>37</v>
      </c>
      <c r="C10" s="64" t="str">
        <f>'Identificação do projeto'!C10</f>
        <v>Inovação e Transformação Digital</v>
      </c>
      <c r="D10" s="65"/>
      <c r="E10" s="65"/>
      <c r="F10" s="66"/>
      <c r="G10" s="56"/>
      <c r="H10" s="67" t="s">
        <v>40</v>
      </c>
      <c r="I10" s="68" t="str">
        <f>'Identificação do projeto'!J10</f>
        <v>Modernização dos Sistema de Informação do CBMMG - GT's Integrados</v>
      </c>
      <c r="J10" s="69"/>
      <c r="K10" s="69"/>
      <c r="L10" s="69"/>
      <c r="M10" s="69"/>
      <c r="N10" s="70"/>
      <c r="O10" s="57"/>
      <c r="P10" s="2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5.5" customHeight="1">
      <c r="A11" s="54"/>
      <c r="C11" s="73"/>
      <c r="D11" s="74"/>
      <c r="E11" s="74"/>
      <c r="F11" s="76"/>
      <c r="G11" s="56"/>
      <c r="H11" s="77" t="s">
        <v>46</v>
      </c>
      <c r="I11" s="68" t="str">
        <f>'Identificação do projeto'!J11</f>
        <v>Base Integrada de Segurança Pública - BISP</v>
      </c>
      <c r="J11" s="69"/>
      <c r="K11" s="69"/>
      <c r="L11" s="69"/>
      <c r="M11" s="69"/>
      <c r="N11" s="70"/>
      <c r="O11" s="57"/>
      <c r="P11" s="2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5.5" customHeight="1">
      <c r="A12" s="54"/>
      <c r="B12" s="59" t="s">
        <v>49</v>
      </c>
      <c r="C12" s="82" t="str">
        <f>'Identificação do projeto'!C12</f>
        <v>Coronel BM Luiz Frederico Barreto Pascoal</v>
      </c>
      <c r="D12" s="84"/>
      <c r="E12" s="84"/>
      <c r="F12" s="85"/>
      <c r="G12" s="56"/>
      <c r="H12" s="67" t="s">
        <v>53</v>
      </c>
      <c r="I12" s="82" t="str">
        <f>'Identificação do projeto'!J12</f>
        <v>Tenente-coronel BM Paulo Afonso Montezano Crispim</v>
      </c>
      <c r="J12" s="84"/>
      <c r="K12" s="84"/>
      <c r="L12" s="84"/>
      <c r="M12" s="84"/>
      <c r="N12" s="85"/>
      <c r="O12" s="57"/>
      <c r="P12" s="2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7"/>
      <c r="P13" s="2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54"/>
      <c r="B14" s="90"/>
      <c r="C14" s="90"/>
      <c r="D14" s="90"/>
      <c r="E14" s="91" t="s">
        <v>61</v>
      </c>
      <c r="K14" s="55"/>
      <c r="L14" s="55"/>
      <c r="M14" s="55"/>
      <c r="N14" s="55"/>
      <c r="O14" s="57"/>
      <c r="P14" s="2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54"/>
      <c r="B15" s="92"/>
      <c r="K15" s="55"/>
      <c r="L15" s="55"/>
      <c r="M15" s="55"/>
      <c r="N15" s="55"/>
      <c r="O15" s="57"/>
      <c r="P15" s="2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54"/>
      <c r="B16" s="55"/>
      <c r="C16" s="55"/>
      <c r="D16" s="55"/>
      <c r="K16" s="55"/>
      <c r="L16" s="55"/>
      <c r="M16" s="55"/>
      <c r="N16" s="55"/>
      <c r="O16" s="57"/>
      <c r="P16" s="2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54"/>
      <c r="B17" s="55"/>
      <c r="C17" s="55"/>
      <c r="D17" s="55"/>
      <c r="K17" s="55"/>
      <c r="L17" s="55"/>
      <c r="M17" s="55"/>
      <c r="N17" s="55"/>
      <c r="O17" s="57"/>
      <c r="P17" s="2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54"/>
      <c r="B18" s="55"/>
      <c r="C18" s="55"/>
      <c r="D18" s="55"/>
      <c r="K18" s="55"/>
      <c r="L18" s="55"/>
      <c r="M18" s="55"/>
      <c r="N18" s="55"/>
      <c r="O18" s="57"/>
      <c r="P18" s="2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54"/>
      <c r="B19" s="55"/>
      <c r="C19" s="55"/>
      <c r="D19" s="55"/>
      <c r="E19" s="55"/>
      <c r="F19" s="55"/>
      <c r="G19" s="55"/>
      <c r="H19" s="104"/>
      <c r="I19" s="55"/>
      <c r="J19" s="55"/>
      <c r="K19" s="55"/>
      <c r="L19" s="55"/>
      <c r="M19" s="55"/>
      <c r="N19" s="55"/>
      <c r="O19" s="57"/>
      <c r="P19" s="2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7"/>
      <c r="P20" s="2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7"/>
      <c r="P21" s="2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7"/>
      <c r="P22" s="2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7"/>
      <c r="P23" s="2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7"/>
      <c r="P24" s="2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54"/>
      <c r="B25" s="55"/>
      <c r="C25" s="55"/>
      <c r="D25" s="55"/>
      <c r="E25" s="55"/>
      <c r="F25" s="90"/>
      <c r="G25" s="55"/>
      <c r="H25" s="55"/>
      <c r="I25" s="55"/>
      <c r="J25" s="55"/>
      <c r="K25" s="55"/>
      <c r="L25" s="55"/>
      <c r="M25" s="55"/>
      <c r="N25" s="55"/>
      <c r="O25" s="57"/>
      <c r="P25" s="2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54"/>
      <c r="B26" s="55"/>
      <c r="C26" s="55"/>
      <c r="D26" s="55"/>
      <c r="E26" s="55"/>
      <c r="F26" s="90"/>
      <c r="G26" s="55"/>
      <c r="H26" s="55"/>
      <c r="I26" s="55"/>
      <c r="J26" s="55"/>
      <c r="K26" s="55"/>
      <c r="L26" s="55"/>
      <c r="M26" s="55"/>
      <c r="N26" s="55"/>
      <c r="O26" s="57"/>
      <c r="P26" s="2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54"/>
      <c r="B27" s="55"/>
      <c r="C27" s="55"/>
      <c r="D27" s="55"/>
      <c r="E27" s="55"/>
      <c r="F27" s="90"/>
      <c r="G27" s="55"/>
      <c r="H27" s="55"/>
      <c r="I27" s="55"/>
      <c r="J27" s="55"/>
      <c r="K27" s="55"/>
      <c r="L27" s="55"/>
      <c r="M27" s="55"/>
      <c r="N27" s="55"/>
      <c r="O27" s="57"/>
      <c r="P27" s="2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54"/>
      <c r="B28" s="55"/>
      <c r="C28" s="55"/>
      <c r="D28" s="55"/>
      <c r="E28" s="55"/>
      <c r="F28" s="90"/>
      <c r="G28" s="55"/>
      <c r="H28" s="55"/>
      <c r="I28" s="55"/>
      <c r="J28" s="55"/>
      <c r="K28" s="55"/>
      <c r="L28" s="55"/>
      <c r="M28" s="55"/>
      <c r="N28" s="55"/>
      <c r="O28" s="57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54"/>
      <c r="B29" s="55"/>
      <c r="C29" s="55"/>
      <c r="D29" s="55"/>
      <c r="E29" s="55"/>
      <c r="F29" s="90"/>
      <c r="G29" s="55"/>
      <c r="H29" s="55"/>
      <c r="I29" s="55"/>
      <c r="J29" s="55"/>
      <c r="K29" s="55"/>
      <c r="L29" s="55"/>
      <c r="M29" s="55"/>
      <c r="N29" s="55"/>
      <c r="O29" s="57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54"/>
      <c r="B30" s="55"/>
      <c r="C30" s="55"/>
      <c r="D30" s="55"/>
      <c r="E30" s="55"/>
      <c r="F30" s="90"/>
      <c r="G30" s="55"/>
      <c r="H30" s="55"/>
      <c r="I30" s="55"/>
      <c r="J30" s="55"/>
      <c r="K30" s="55"/>
      <c r="L30" s="55"/>
      <c r="M30" s="55"/>
      <c r="N30" s="55"/>
      <c r="O30" s="57"/>
      <c r="P30" s="2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54"/>
      <c r="B31" s="55"/>
      <c r="C31" s="55"/>
      <c r="D31" s="55"/>
      <c r="E31" s="55"/>
      <c r="F31" s="90"/>
      <c r="G31" s="55"/>
      <c r="H31" s="55"/>
      <c r="I31" s="55"/>
      <c r="J31" s="55"/>
      <c r="K31" s="55"/>
      <c r="L31" s="55"/>
      <c r="M31" s="55"/>
      <c r="N31" s="55"/>
      <c r="O31" s="57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54"/>
      <c r="B32" s="55"/>
      <c r="C32" s="55"/>
      <c r="D32" s="55"/>
      <c r="E32" s="55"/>
      <c r="F32" s="90"/>
      <c r="G32" s="55"/>
      <c r="H32" s="55"/>
      <c r="I32" s="55"/>
      <c r="J32" s="55"/>
      <c r="K32" s="55"/>
      <c r="L32" s="55"/>
      <c r="M32" s="55"/>
      <c r="N32" s="55"/>
      <c r="O32" s="57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54"/>
      <c r="B33" s="55"/>
      <c r="C33" s="55"/>
      <c r="D33" s="55"/>
      <c r="E33" s="55"/>
      <c r="F33" s="90"/>
      <c r="G33" s="55"/>
      <c r="H33" s="55"/>
      <c r="I33" s="55"/>
      <c r="J33" s="55"/>
      <c r="K33" s="55"/>
      <c r="L33" s="55"/>
      <c r="M33" s="55"/>
      <c r="N33" s="55"/>
      <c r="O33" s="57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54"/>
      <c r="B34" s="55"/>
      <c r="C34" s="55"/>
      <c r="D34" s="55"/>
      <c r="E34" s="55"/>
      <c r="F34" s="90"/>
      <c r="G34" s="55"/>
      <c r="H34" s="55"/>
      <c r="I34" s="55"/>
      <c r="J34" s="55"/>
      <c r="K34" s="55"/>
      <c r="L34" s="55"/>
      <c r="M34" s="55"/>
      <c r="N34" s="55"/>
      <c r="O34" s="57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54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7"/>
      <c r="P35" s="2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7"/>
      <c r="P36" s="2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54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7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54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7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54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7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54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7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54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7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54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7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54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7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54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7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54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7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54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7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54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7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54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7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54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7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54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7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54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7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5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7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7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7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7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54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7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54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7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54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7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54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7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54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7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54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7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7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54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7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218"/>
      <c r="B64" s="219"/>
      <c r="C64" s="219"/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20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C12:F12"/>
    <mergeCell ref="E14:J18"/>
    <mergeCell ref="B15:D15"/>
    <mergeCell ref="C9:F9"/>
    <mergeCell ref="I9:N9"/>
    <mergeCell ref="B10:B11"/>
    <mergeCell ref="C10:F11"/>
    <mergeCell ref="I10:N10"/>
    <mergeCell ref="I11:N11"/>
    <mergeCell ref="I12:N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75"/>
    <col customWidth="1" min="2" max="2" width="24.25"/>
    <col customWidth="1" min="3" max="3" width="15.75"/>
    <col customWidth="1" min="5" max="5" width="15.63"/>
    <col customWidth="1" min="7" max="7" width="3.25"/>
    <col customWidth="1" min="8" max="8" width="21.88"/>
    <col customWidth="1" min="9" max="9" width="26.5"/>
    <col customWidth="1" min="10" max="10" width="26.38"/>
    <col customWidth="1" min="11" max="11" width="16.13"/>
    <col customWidth="1" min="14" max="14" width="6.0"/>
    <col customWidth="1" min="15" max="15" width="6.88"/>
  </cols>
  <sheetData>
    <row r="1" ht="15.75" customHeight="1">
      <c r="A1" s="12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25"/>
      <c r="O1" s="126"/>
      <c r="P1" s="13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ht="15.75" customHeight="1">
      <c r="A2" s="39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45"/>
      <c r="O2" s="15"/>
      <c r="P2" s="2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ht="15.75" customHeight="1">
      <c r="A3" s="39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45"/>
      <c r="O3" s="15"/>
      <c r="P3" s="2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ht="15.75" customHeight="1">
      <c r="A4" s="3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45"/>
      <c r="O4" s="15"/>
      <c r="P4" s="2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ht="15.75" customHeight="1">
      <c r="A5" s="39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45"/>
      <c r="O5" s="15"/>
      <c r="P5" s="2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ht="19.5" customHeight="1">
      <c r="A6" s="39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45"/>
      <c r="O6" s="15"/>
      <c r="P6" s="2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ht="19.5" customHeight="1">
      <c r="A7" s="39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5"/>
      <c r="P7" s="2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ht="15.75" customHeight="1">
      <c r="A8" s="39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5"/>
      <c r="P8" s="2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ht="27.0" customHeight="1">
      <c r="A9" s="39"/>
      <c r="B9" s="130" t="s">
        <v>27</v>
      </c>
      <c r="C9" s="138" t="str">
        <f>'Identificação do projeto'!C9</f>
        <v>Coronel BM Moisés Magalhães de Sousa</v>
      </c>
      <c r="D9" s="62"/>
      <c r="E9" s="62"/>
      <c r="F9" s="63"/>
      <c r="G9" s="55"/>
      <c r="H9" s="130" t="s">
        <v>32</v>
      </c>
      <c r="I9" s="138" t="str">
        <f>'Identificação do projeto'!J9</f>
        <v>Aperfeiçoamento Tecnológico do CBMMG</v>
      </c>
      <c r="J9" s="62"/>
      <c r="K9" s="62"/>
      <c r="L9" s="62"/>
      <c r="M9" s="62"/>
      <c r="N9" s="63"/>
      <c r="O9" s="15"/>
      <c r="P9" s="2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ht="27.0" customHeight="1">
      <c r="A10" s="39"/>
      <c r="B10" s="59" t="s">
        <v>37</v>
      </c>
      <c r="C10" s="64" t="str">
        <f>'Identificação do projeto'!C10</f>
        <v>Inovação e Transformação Digital</v>
      </c>
      <c r="D10" s="65"/>
      <c r="E10" s="65"/>
      <c r="F10" s="66"/>
      <c r="G10" s="55"/>
      <c r="H10" s="147" t="s">
        <v>40</v>
      </c>
      <c r="I10" s="151" t="str">
        <f>'Identificação do projeto'!J10</f>
        <v>Modernização dos Sistema de Informação do CBMMG - GT's Integrados</v>
      </c>
      <c r="J10" s="69"/>
      <c r="K10" s="69"/>
      <c r="L10" s="69"/>
      <c r="M10" s="69"/>
      <c r="N10" s="70"/>
      <c r="O10" s="15"/>
      <c r="P10" s="2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ht="27.0" customHeight="1">
      <c r="A11" s="39"/>
      <c r="C11" s="73"/>
      <c r="D11" s="74"/>
      <c r="E11" s="74"/>
      <c r="F11" s="76"/>
      <c r="G11" s="55"/>
      <c r="H11" s="153" t="s">
        <v>46</v>
      </c>
      <c r="I11" s="154" t="str">
        <f>'Identificação do projeto'!J11</f>
        <v>Base Integrada de Segurança Pública - BISP</v>
      </c>
      <c r="J11" s="65"/>
      <c r="K11" s="65"/>
      <c r="L11" s="65"/>
      <c r="M11" s="65"/>
      <c r="N11" s="66"/>
      <c r="O11" s="15"/>
      <c r="P11" s="2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ht="27.0" customHeight="1">
      <c r="A12" s="39"/>
      <c r="B12" s="130" t="s">
        <v>49</v>
      </c>
      <c r="C12" s="158" t="str">
        <f>'Identificação do projeto'!C12</f>
        <v>Coronel BM Luiz Frederico Barreto Pascoal</v>
      </c>
      <c r="D12" s="84"/>
      <c r="E12" s="84"/>
      <c r="F12" s="85"/>
      <c r="G12" s="55"/>
      <c r="H12" s="147" t="s">
        <v>53</v>
      </c>
      <c r="I12" s="158" t="str">
        <f>'Identificação do projeto'!J12</f>
        <v>Tenente-coronel BM Paulo Afonso Montezano Crispim</v>
      </c>
      <c r="J12" s="84"/>
      <c r="K12" s="84"/>
      <c r="L12" s="84"/>
      <c r="M12" s="84"/>
      <c r="N12" s="85"/>
      <c r="O12" s="15"/>
      <c r="P12" s="2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ht="15.75" customHeight="1">
      <c r="A13" s="39"/>
      <c r="B13" s="90"/>
      <c r="C13" s="90"/>
      <c r="D13" s="90"/>
      <c r="E13" s="90"/>
      <c r="F13" s="90"/>
      <c r="G13" s="55"/>
      <c r="H13" s="55"/>
      <c r="I13" s="55"/>
      <c r="J13" s="55"/>
      <c r="K13" s="55"/>
      <c r="L13" s="55"/>
      <c r="M13" s="55"/>
      <c r="N13" s="57"/>
      <c r="O13" s="15"/>
      <c r="P13" s="2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ht="15.75" customHeight="1">
      <c r="A14" s="39"/>
      <c r="B14" s="90"/>
      <c r="C14" s="90"/>
      <c r="D14" s="90"/>
      <c r="E14" s="90"/>
      <c r="F14" s="90"/>
      <c r="G14" s="55"/>
      <c r="H14" s="55"/>
      <c r="I14" s="55"/>
      <c r="J14" s="55"/>
      <c r="K14" s="55"/>
      <c r="L14" s="55"/>
      <c r="M14" s="55"/>
      <c r="N14" s="57"/>
      <c r="O14" s="15"/>
      <c r="P14" s="2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ht="22.5" customHeight="1">
      <c r="A15" s="39"/>
      <c r="B15" s="170" t="s">
        <v>106</v>
      </c>
      <c r="C15" s="94"/>
      <c r="D15" s="94"/>
      <c r="E15" s="107"/>
      <c r="F15" s="55"/>
      <c r="G15" s="55"/>
      <c r="H15" s="55"/>
      <c r="I15" s="174" t="s">
        <v>109</v>
      </c>
      <c r="J15" s="94"/>
      <c r="K15" s="94"/>
      <c r="L15" s="94"/>
      <c r="M15" s="94"/>
      <c r="N15" s="107"/>
      <c r="O15" s="15"/>
      <c r="P15" s="2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ht="18.75" customHeight="1">
      <c r="A16" s="39"/>
      <c r="B16" s="178" t="s">
        <v>113</v>
      </c>
      <c r="C16" s="94"/>
      <c r="D16" s="94"/>
      <c r="E16" s="107"/>
      <c r="F16" s="55"/>
      <c r="G16" s="55"/>
      <c r="H16" s="55"/>
      <c r="I16" s="180" t="s">
        <v>115</v>
      </c>
      <c r="J16" s="182" t="s">
        <v>117</v>
      </c>
      <c r="K16" s="183" t="s">
        <v>118</v>
      </c>
      <c r="L16" s="94"/>
      <c r="M16" s="94"/>
      <c r="N16" s="107"/>
      <c r="O16" s="25"/>
      <c r="P16" s="2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ht="81.75" customHeight="1">
      <c r="A17" s="39"/>
      <c r="B17" s="186" t="s">
        <v>123</v>
      </c>
      <c r="C17" s="187"/>
      <c r="D17" s="187"/>
      <c r="E17" s="188"/>
      <c r="F17" s="55"/>
      <c r="G17" s="55"/>
      <c r="H17" s="104"/>
      <c r="I17" s="191" t="s">
        <v>126</v>
      </c>
      <c r="J17" s="194"/>
      <c r="K17" s="196" t="s">
        <v>130</v>
      </c>
      <c r="L17" s="187"/>
      <c r="M17" s="187"/>
      <c r="N17" s="188"/>
      <c r="O17" s="25"/>
      <c r="P17" s="2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ht="54.75" customHeight="1">
      <c r="A18" s="39"/>
      <c r="B18" s="200" t="s">
        <v>135</v>
      </c>
      <c r="C18" s="98"/>
      <c r="D18" s="98"/>
      <c r="E18" s="102"/>
      <c r="F18" s="90"/>
      <c r="G18" s="55"/>
      <c r="H18" s="55"/>
      <c r="I18" s="201" t="s">
        <v>136</v>
      </c>
      <c r="J18" s="203">
        <v>0.0</v>
      </c>
      <c r="K18" s="205" t="s">
        <v>138</v>
      </c>
      <c r="L18" s="69"/>
      <c r="M18" s="69"/>
      <c r="N18" s="123"/>
      <c r="O18" s="206"/>
      <c r="P18" s="2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ht="26.25" customHeight="1">
      <c r="A19" s="39"/>
      <c r="B19" s="207" t="s">
        <v>141</v>
      </c>
      <c r="C19" s="208"/>
      <c r="D19" s="208"/>
      <c r="E19" s="209"/>
      <c r="F19" s="90"/>
      <c r="G19" s="55"/>
      <c r="H19" s="55"/>
      <c r="I19" s="210"/>
      <c r="J19" s="212"/>
      <c r="K19" s="213"/>
      <c r="L19" s="65"/>
      <c r="M19" s="65"/>
      <c r="N19" s="214"/>
      <c r="O19" s="206"/>
      <c r="P19" s="2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ht="42.0" customHeight="1">
      <c r="A20" s="39"/>
      <c r="B20" s="215" t="s">
        <v>144</v>
      </c>
      <c r="C20" s="69"/>
      <c r="D20" s="69"/>
      <c r="E20" s="123"/>
      <c r="F20" s="90"/>
      <c r="G20" s="55"/>
      <c r="H20" s="55"/>
      <c r="I20" s="216" t="s">
        <v>146</v>
      </c>
      <c r="J20" s="217">
        <f>SUM(J17:J19)</f>
        <v>0</v>
      </c>
      <c r="K20" s="94"/>
      <c r="L20" s="94"/>
      <c r="M20" s="94"/>
      <c r="N20" s="107"/>
      <c r="O20" s="206"/>
      <c r="P20" s="2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28.5" customHeight="1">
      <c r="A21" s="39"/>
      <c r="B21" s="215" t="s">
        <v>147</v>
      </c>
      <c r="C21" s="69"/>
      <c r="D21" s="69"/>
      <c r="E21" s="123"/>
      <c r="F21" s="90"/>
      <c r="G21" s="55"/>
      <c r="H21" s="55"/>
      <c r="I21" s="55"/>
      <c r="J21" s="55"/>
      <c r="K21" s="55"/>
      <c r="L21" s="55"/>
      <c r="M21" s="55"/>
      <c r="N21" s="57"/>
      <c r="O21" s="206"/>
      <c r="P21" s="2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30.0" customHeight="1">
      <c r="A22" s="39"/>
      <c r="B22" s="215" t="s">
        <v>148</v>
      </c>
      <c r="C22" s="69"/>
      <c r="D22" s="69"/>
      <c r="E22" s="123"/>
      <c r="F22" s="90"/>
      <c r="G22" s="55"/>
      <c r="H22" s="55"/>
      <c r="I22" s="55"/>
      <c r="J22" s="55"/>
      <c r="K22" s="55"/>
      <c r="L22" s="55"/>
      <c r="M22" s="55"/>
      <c r="N22" s="57"/>
      <c r="O22" s="15"/>
      <c r="P22" s="2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25.5" customHeight="1">
      <c r="A23" s="39"/>
      <c r="B23" s="215" t="s">
        <v>150</v>
      </c>
      <c r="C23" s="69"/>
      <c r="D23" s="69"/>
      <c r="E23" s="123"/>
      <c r="F23" s="90"/>
      <c r="G23" s="55"/>
      <c r="H23" s="55"/>
      <c r="I23" s="22"/>
      <c r="J23" s="22"/>
      <c r="K23" s="22"/>
      <c r="L23" s="22"/>
      <c r="M23" s="22"/>
      <c r="N23" s="45"/>
      <c r="O23" s="15"/>
      <c r="P23" s="2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25.5" customHeight="1">
      <c r="A24" s="39"/>
      <c r="B24" s="215" t="s">
        <v>154</v>
      </c>
      <c r="C24" s="69"/>
      <c r="D24" s="69"/>
      <c r="E24" s="123"/>
      <c r="F24" s="90"/>
      <c r="G24" s="55"/>
      <c r="H24" s="55"/>
      <c r="I24" s="22"/>
      <c r="J24" s="22"/>
      <c r="K24" s="22"/>
      <c r="L24" s="22"/>
      <c r="M24" s="22"/>
      <c r="N24" s="45"/>
      <c r="O24" s="15"/>
      <c r="P24" s="2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25.5" customHeight="1">
      <c r="A25" s="39"/>
      <c r="B25" s="224"/>
      <c r="C25" s="69"/>
      <c r="D25" s="69"/>
      <c r="E25" s="123"/>
      <c r="F25" s="55"/>
      <c r="G25" s="55"/>
      <c r="H25" s="55"/>
      <c r="I25" s="173"/>
      <c r="J25" s="173"/>
      <c r="K25" s="173"/>
      <c r="L25" s="173"/>
      <c r="M25" s="173"/>
      <c r="N25" s="226"/>
      <c r="O25" s="15"/>
      <c r="P25" s="25"/>
      <c r="Q25" s="25"/>
      <c r="R25" s="25"/>
      <c r="S25" s="2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25.5" customHeight="1">
      <c r="A26" s="39"/>
      <c r="B26" s="227"/>
      <c r="C26" s="136"/>
      <c r="D26" s="136"/>
      <c r="E26" s="140"/>
      <c r="F26" s="55"/>
      <c r="G26" s="55"/>
      <c r="H26" s="55"/>
      <c r="I26" s="173"/>
      <c r="J26" s="173"/>
      <c r="K26" s="173"/>
      <c r="L26" s="173"/>
      <c r="M26" s="173"/>
      <c r="N26" s="226"/>
      <c r="O26" s="15"/>
      <c r="P26" s="25"/>
      <c r="Q26" s="25"/>
      <c r="R26" s="25"/>
      <c r="S26" s="2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75" customHeight="1">
      <c r="A27" s="39"/>
      <c r="B27" s="22"/>
      <c r="C27" s="22"/>
      <c r="D27" s="22"/>
      <c r="E27" s="22"/>
      <c r="F27" s="22"/>
      <c r="G27" s="22"/>
      <c r="H27" s="22"/>
      <c r="I27" s="173"/>
      <c r="J27" s="173"/>
      <c r="K27" s="173"/>
      <c r="L27" s="173"/>
      <c r="M27" s="173"/>
      <c r="N27" s="226"/>
      <c r="O27" s="15"/>
      <c r="P27" s="25"/>
      <c r="Q27" s="25"/>
      <c r="R27" s="25"/>
      <c r="S27" s="2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5.75" customHeight="1">
      <c r="A28" s="39"/>
      <c r="B28" s="22"/>
      <c r="C28" s="22"/>
      <c r="D28" s="22"/>
      <c r="E28" s="22"/>
      <c r="F28" s="22"/>
      <c r="G28" s="22"/>
      <c r="H28" s="22"/>
      <c r="I28" s="173"/>
      <c r="J28" s="173"/>
      <c r="K28" s="173"/>
      <c r="L28" s="173"/>
      <c r="M28" s="173"/>
      <c r="N28" s="226"/>
      <c r="O28" s="15"/>
      <c r="P28" s="25"/>
      <c r="Q28" s="25"/>
      <c r="R28" s="25"/>
      <c r="S28" s="2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5.75" customHeight="1">
      <c r="A29" s="229"/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226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ht="15.75" customHeight="1">
      <c r="A30" s="229"/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226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ht="15.75" customHeight="1">
      <c r="A31" s="229"/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226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ht="15.75" customHeight="1">
      <c r="A32" s="229"/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226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ht="15.75" customHeight="1">
      <c r="A33" s="229"/>
      <c r="B33" s="173"/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226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ht="15.75" customHeight="1">
      <c r="A34" s="229"/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226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ht="15.75" customHeight="1">
      <c r="A35" s="229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226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ht="15.75" customHeight="1">
      <c r="A36" s="229"/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226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ht="15.75" customHeight="1">
      <c r="A37" s="229"/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226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ht="15.75" customHeight="1">
      <c r="A38" s="229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226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ht="15.75" customHeight="1">
      <c r="A39" s="229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226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ht="15.75" customHeight="1">
      <c r="A40" s="229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226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ht="15.75" customHeight="1">
      <c r="A41" s="229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226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ht="15.75" customHeight="1">
      <c r="A42" s="229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226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ht="15.75" customHeight="1">
      <c r="A43" s="229"/>
      <c r="B43" s="173"/>
      <c r="C43" s="173"/>
      <c r="D43" s="173"/>
      <c r="E43" s="173"/>
      <c r="F43" s="173"/>
      <c r="G43" s="173"/>
      <c r="H43" s="173"/>
      <c r="I43" s="235"/>
      <c r="J43" s="235"/>
      <c r="K43" s="235"/>
      <c r="L43" s="235"/>
      <c r="M43" s="235"/>
      <c r="N43" s="236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ht="15.75" customHeight="1">
      <c r="A44" s="229"/>
      <c r="B44" s="173"/>
      <c r="C44" s="173"/>
      <c r="D44" s="173"/>
      <c r="E44" s="173"/>
      <c r="F44" s="173"/>
      <c r="G44" s="173"/>
      <c r="H44" s="173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ht="15.75" customHeight="1">
      <c r="A45" s="229"/>
      <c r="B45" s="173"/>
      <c r="C45" s="173"/>
      <c r="D45" s="173"/>
      <c r="E45" s="173"/>
      <c r="F45" s="173"/>
      <c r="G45" s="173"/>
      <c r="H45" s="173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ht="15.75" customHeight="1">
      <c r="A46" s="229"/>
      <c r="B46" s="173"/>
      <c r="C46" s="173"/>
      <c r="D46" s="173"/>
      <c r="E46" s="173"/>
      <c r="F46" s="173"/>
      <c r="G46" s="173"/>
      <c r="H46" s="173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ht="15.75" customHeight="1">
      <c r="A47" s="242"/>
      <c r="B47" s="235"/>
      <c r="C47" s="235"/>
      <c r="D47" s="235"/>
      <c r="E47" s="235"/>
      <c r="F47" s="235"/>
      <c r="G47" s="235"/>
      <c r="H47" s="23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6">
    <mergeCell ref="C9:F9"/>
    <mergeCell ref="I9:N9"/>
    <mergeCell ref="B10:B11"/>
    <mergeCell ref="C10:F11"/>
    <mergeCell ref="I10:N10"/>
    <mergeCell ref="I11:N11"/>
    <mergeCell ref="I12:N12"/>
    <mergeCell ref="K17:N17"/>
    <mergeCell ref="K18:N18"/>
    <mergeCell ref="C12:F12"/>
    <mergeCell ref="B15:E15"/>
    <mergeCell ref="I15:N15"/>
    <mergeCell ref="B16:E16"/>
    <mergeCell ref="K16:N16"/>
    <mergeCell ref="B17:E17"/>
    <mergeCell ref="B18:E18"/>
    <mergeCell ref="B24:E24"/>
    <mergeCell ref="B25:E25"/>
    <mergeCell ref="B26:E26"/>
    <mergeCell ref="B19:E19"/>
    <mergeCell ref="K19:N19"/>
    <mergeCell ref="B20:E20"/>
    <mergeCell ref="J20:N20"/>
    <mergeCell ref="B21:E21"/>
    <mergeCell ref="B22:E22"/>
    <mergeCell ref="B23:E23"/>
  </mergeCells>
  <conditionalFormatting sqref="I17:I24">
    <cfRule type="containsText" dxfId="0" priority="1" operator="containsText" text="SEM CUSTOS">
      <formula>NOT(ISERROR(SEARCH(("SEM CUSTOS"),(I17))))</formula>
    </cfRule>
  </conditionalFormatting>
  <conditionalFormatting sqref="I17:I24">
    <cfRule type="containsText" dxfId="1" priority="2" operator="containsText" text="NÃO CAPTADO">
      <formula>NOT(ISERROR(SEARCH(("NÃO CAPTADO"),(I17))))</formula>
    </cfRule>
  </conditionalFormatting>
  <conditionalFormatting sqref="I17:I24">
    <cfRule type="containsText" dxfId="2" priority="3" operator="containsText" text="CAPTADO">
      <formula>NOT(ISERROR(SEARCH(("CAPTADO"),(I17))))</formula>
    </cfRule>
  </conditionalFormatting>
  <dataValidations>
    <dataValidation type="list" allowBlank="1" sqref="I17:I19">
      <formula1>"CAPTADO,NÃO CAPTADO,SEM ORÇAMENTO"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75"/>
    <col customWidth="1" min="2" max="2" width="31.88"/>
    <col customWidth="1" min="3" max="3" width="11.75"/>
    <col customWidth="1" min="4" max="4" width="15.75"/>
    <col customWidth="1" min="6" max="6" width="10.88"/>
    <col customWidth="1" min="7" max="7" width="15.13"/>
    <col customWidth="1" min="8" max="8" width="27.13"/>
    <col customWidth="1" min="9" max="9" width="25.25"/>
    <col customWidth="1" min="14" max="14" width="4.75"/>
    <col customWidth="1" min="15" max="15" width="0.38"/>
  </cols>
  <sheetData>
    <row r="1" ht="15.75" customHeight="1">
      <c r="A1" s="12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25"/>
      <c r="P1" s="126"/>
      <c r="Q1" s="13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15.75" customHeight="1">
      <c r="A2" s="39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45"/>
      <c r="P2" s="15"/>
      <c r="Q2" s="2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15.75" customHeight="1">
      <c r="A3" s="39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45"/>
      <c r="P3" s="15"/>
      <c r="Q3" s="2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15.75" customHeight="1">
      <c r="A4" s="3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45"/>
      <c r="P4" s="15"/>
      <c r="Q4" s="2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15.75" customHeight="1">
      <c r="A5" s="39"/>
      <c r="B5" s="22"/>
      <c r="C5" s="22"/>
      <c r="D5" s="22"/>
      <c r="E5" s="22"/>
      <c r="F5" s="22"/>
      <c r="G5" s="22"/>
      <c r="H5" s="22"/>
      <c r="I5" s="135"/>
      <c r="J5" s="22"/>
      <c r="K5" s="22"/>
      <c r="L5" s="22"/>
      <c r="M5" s="22"/>
      <c r="N5" s="22"/>
      <c r="O5" s="45"/>
      <c r="P5" s="15"/>
      <c r="Q5" s="2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19.5" customHeight="1">
      <c r="A6" s="39"/>
      <c r="B6" s="22"/>
      <c r="C6" s="22"/>
      <c r="D6" s="22"/>
      <c r="E6" s="22"/>
      <c r="F6" s="22"/>
      <c r="G6" s="22"/>
      <c r="H6" s="22"/>
      <c r="I6" s="135"/>
      <c r="J6" s="22"/>
      <c r="K6" s="22"/>
      <c r="L6" s="22"/>
      <c r="M6" s="22"/>
      <c r="N6" s="22"/>
      <c r="O6" s="45"/>
      <c r="P6" s="15"/>
      <c r="Q6" s="2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19.5" customHeight="1">
      <c r="A7" s="39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7"/>
      <c r="P7" s="15"/>
      <c r="Q7" s="2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23.25" customHeight="1">
      <c r="A8" s="145"/>
      <c r="B8" s="59" t="s">
        <v>27</v>
      </c>
      <c r="C8" s="61" t="s">
        <v>30</v>
      </c>
      <c r="D8" s="62"/>
      <c r="E8" s="62"/>
      <c r="F8" s="63"/>
      <c r="G8" s="56"/>
      <c r="H8" s="59" t="s">
        <v>32</v>
      </c>
      <c r="I8" s="61" t="s">
        <v>33</v>
      </c>
      <c r="J8" s="62"/>
      <c r="K8" s="62"/>
      <c r="L8" s="62"/>
      <c r="M8" s="62"/>
      <c r="N8" s="63"/>
      <c r="O8" s="148"/>
      <c r="P8" s="149"/>
      <c r="Q8" s="150"/>
      <c r="R8" s="149"/>
      <c r="S8" s="149"/>
      <c r="T8" s="149"/>
      <c r="U8" s="149"/>
      <c r="V8" s="149"/>
      <c r="W8" s="149"/>
      <c r="X8" s="149"/>
      <c r="Y8" s="149"/>
      <c r="Z8" s="149"/>
      <c r="AA8" s="149"/>
    </row>
    <row r="9" ht="23.25" customHeight="1">
      <c r="A9" s="145"/>
      <c r="B9" s="59" t="s">
        <v>37</v>
      </c>
      <c r="C9" s="64" t="s">
        <v>38</v>
      </c>
      <c r="D9" s="65"/>
      <c r="E9" s="65"/>
      <c r="F9" s="66"/>
      <c r="G9" s="56"/>
      <c r="H9" s="67" t="s">
        <v>40</v>
      </c>
      <c r="I9" s="68" t="s">
        <v>41</v>
      </c>
      <c r="J9" s="69"/>
      <c r="K9" s="69"/>
      <c r="L9" s="69"/>
      <c r="M9" s="69"/>
      <c r="N9" s="70"/>
      <c r="O9" s="148"/>
      <c r="P9" s="149"/>
      <c r="Q9" s="150"/>
      <c r="R9" s="149"/>
      <c r="S9" s="149"/>
      <c r="T9" s="149"/>
      <c r="U9" s="149"/>
      <c r="V9" s="149"/>
      <c r="W9" s="149"/>
      <c r="X9" s="149"/>
      <c r="Y9" s="149"/>
      <c r="Z9" s="149"/>
      <c r="AA9" s="149"/>
    </row>
    <row r="10" ht="23.25" customHeight="1">
      <c r="A10" s="145"/>
      <c r="C10" s="73"/>
      <c r="D10" s="74"/>
      <c r="E10" s="74"/>
      <c r="F10" s="76"/>
      <c r="G10" s="56"/>
      <c r="H10" s="77" t="s">
        <v>46</v>
      </c>
      <c r="I10" s="64" t="str">
        <f>'Identificação do projeto'!J11</f>
        <v>Base Integrada de Segurança Pública - BISP</v>
      </c>
      <c r="J10" s="65"/>
      <c r="K10" s="65"/>
      <c r="L10" s="65"/>
      <c r="M10" s="65"/>
      <c r="N10" s="66"/>
      <c r="O10" s="148"/>
      <c r="P10" s="149"/>
      <c r="Q10" s="150"/>
      <c r="R10" s="149"/>
      <c r="S10" s="149"/>
      <c r="T10" s="149"/>
      <c r="U10" s="149"/>
      <c r="V10" s="149"/>
      <c r="W10" s="149"/>
      <c r="X10" s="149"/>
      <c r="Y10" s="149"/>
      <c r="Z10" s="149"/>
      <c r="AA10" s="149"/>
    </row>
    <row r="11" ht="23.25" customHeight="1">
      <c r="A11" s="145"/>
      <c r="B11" s="59" t="s">
        <v>49</v>
      </c>
      <c r="C11" s="82" t="s">
        <v>51</v>
      </c>
      <c r="D11" s="84"/>
      <c r="E11" s="84"/>
      <c r="F11" s="85"/>
      <c r="G11" s="56"/>
      <c r="H11" s="67" t="s">
        <v>53</v>
      </c>
      <c r="I11" s="82" t="s">
        <v>56</v>
      </c>
      <c r="J11" s="84"/>
      <c r="K11" s="84"/>
      <c r="L11" s="84"/>
      <c r="M11" s="84"/>
      <c r="N11" s="85"/>
      <c r="O11" s="148"/>
      <c r="P11" s="149"/>
      <c r="Q11" s="150"/>
      <c r="R11" s="149"/>
      <c r="S11" s="149"/>
      <c r="T11" s="149"/>
      <c r="U11" s="149"/>
      <c r="V11" s="149"/>
      <c r="W11" s="149"/>
      <c r="X11" s="149"/>
      <c r="Y11" s="149"/>
      <c r="Z11" s="149"/>
      <c r="AA11" s="149"/>
    </row>
    <row r="12" ht="15.75" customHeight="1">
      <c r="A12" s="39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7"/>
      <c r="P12" s="15"/>
      <c r="Q12" s="2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15.75" customHeight="1">
      <c r="A13" s="39"/>
      <c r="B13" s="90"/>
      <c r="C13" s="90"/>
      <c r="D13" s="90"/>
      <c r="E13" s="90"/>
      <c r="F13" s="90"/>
      <c r="G13" s="90"/>
      <c r="H13" s="55"/>
      <c r="I13" s="55"/>
      <c r="J13" s="22"/>
      <c r="K13" s="22"/>
      <c r="L13" s="22"/>
      <c r="M13" s="22"/>
      <c r="N13" s="22"/>
      <c r="O13" s="45"/>
      <c r="P13" s="15"/>
      <c r="Q13" s="2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15.75" customHeight="1">
      <c r="A14" s="39"/>
      <c r="B14" s="92"/>
      <c r="C14" s="92"/>
      <c r="D14" s="92"/>
      <c r="E14" s="92"/>
      <c r="F14" s="90"/>
      <c r="G14" s="90"/>
      <c r="H14" s="55"/>
      <c r="I14" s="55"/>
      <c r="J14" s="22"/>
      <c r="K14" s="22"/>
      <c r="L14" s="22"/>
      <c r="M14" s="22"/>
      <c r="N14" s="22"/>
      <c r="O14" s="45"/>
      <c r="P14" s="15"/>
      <c r="Q14" s="2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64.5" customHeight="1">
      <c r="A15" s="39"/>
      <c r="B15" s="165" t="s">
        <v>101</v>
      </c>
      <c r="C15" s="166"/>
      <c r="D15" s="167" t="s">
        <v>102</v>
      </c>
      <c r="E15" s="168" t="s">
        <v>103</v>
      </c>
      <c r="F15" s="166"/>
      <c r="G15" s="169" t="s">
        <v>104</v>
      </c>
      <c r="H15" s="168" t="s">
        <v>107</v>
      </c>
      <c r="I15" s="165" t="s">
        <v>108</v>
      </c>
      <c r="J15" s="171"/>
      <c r="K15" s="171"/>
      <c r="L15" s="171"/>
      <c r="M15" s="172"/>
      <c r="N15" s="173"/>
      <c r="O15" s="45"/>
      <c r="P15" s="15"/>
      <c r="Q15" s="2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15.75" customHeight="1">
      <c r="A16" s="39"/>
      <c r="B16" s="175" t="s">
        <v>110</v>
      </c>
      <c r="C16" s="176"/>
      <c r="D16" s="177">
        <v>45916.0</v>
      </c>
      <c r="E16" s="179">
        <v>0.02</v>
      </c>
      <c r="F16" s="176"/>
      <c r="G16" s="181" t="s">
        <v>116</v>
      </c>
      <c r="H16" s="184" t="s">
        <v>76</v>
      </c>
      <c r="I16" s="185" t="s">
        <v>122</v>
      </c>
      <c r="J16" s="187"/>
      <c r="K16" s="187"/>
      <c r="L16" s="187"/>
      <c r="M16" s="190"/>
      <c r="N16" s="173"/>
      <c r="O16" s="45"/>
      <c r="P16" s="15"/>
      <c r="Q16" s="2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15.75" customHeight="1">
      <c r="A17" s="39"/>
      <c r="B17" s="193" t="s">
        <v>128</v>
      </c>
      <c r="C17" s="120"/>
      <c r="D17" s="195">
        <v>45930.0</v>
      </c>
      <c r="E17" s="197">
        <v>0.05</v>
      </c>
      <c r="F17" s="120"/>
      <c r="G17" s="198" t="s">
        <v>116</v>
      </c>
      <c r="H17" s="184" t="s">
        <v>131</v>
      </c>
      <c r="I17" s="199" t="s">
        <v>133</v>
      </c>
      <c r="J17" s="69"/>
      <c r="K17" s="69"/>
      <c r="L17" s="69"/>
      <c r="M17" s="70"/>
      <c r="N17" s="173"/>
      <c r="O17" s="45"/>
      <c r="P17" s="15"/>
      <c r="Q17" s="2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15.75" customHeight="1">
      <c r="A18" s="39"/>
      <c r="B18" s="193" t="s">
        <v>137</v>
      </c>
      <c r="C18" s="120"/>
      <c r="D18" s="195">
        <v>45968.0</v>
      </c>
      <c r="E18" s="197">
        <v>0.08</v>
      </c>
      <c r="F18" s="120"/>
      <c r="G18" s="198" t="s">
        <v>116</v>
      </c>
      <c r="H18" s="184" t="s">
        <v>139</v>
      </c>
      <c r="I18" s="199" t="s">
        <v>140</v>
      </c>
      <c r="J18" s="69"/>
      <c r="K18" s="69"/>
      <c r="L18" s="69"/>
      <c r="M18" s="70"/>
      <c r="N18" s="173"/>
      <c r="O18" s="45"/>
      <c r="P18" s="15"/>
      <c r="Q18" s="2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ht="15.75" customHeight="1">
      <c r="A19" s="39"/>
      <c r="B19" s="193" t="s">
        <v>142</v>
      </c>
      <c r="C19" s="120"/>
      <c r="D19" s="195">
        <v>45996.0</v>
      </c>
      <c r="E19" s="197">
        <v>0.02</v>
      </c>
      <c r="F19" s="120"/>
      <c r="G19" s="198" t="s">
        <v>116</v>
      </c>
      <c r="H19" s="184" t="s">
        <v>76</v>
      </c>
      <c r="I19" s="199" t="s">
        <v>143</v>
      </c>
      <c r="J19" s="69"/>
      <c r="K19" s="69"/>
      <c r="L19" s="69"/>
      <c r="M19" s="70"/>
      <c r="N19" s="173"/>
      <c r="O19" s="45"/>
      <c r="P19" s="15"/>
      <c r="Q19" s="2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15.75" customHeight="1">
      <c r="A20" s="39"/>
      <c r="B20" s="193" t="s">
        <v>145</v>
      </c>
      <c r="C20" s="120"/>
      <c r="D20" s="195">
        <v>46020.0</v>
      </c>
      <c r="E20" s="197">
        <v>0.02</v>
      </c>
      <c r="F20" s="120"/>
      <c r="G20" s="198" t="s">
        <v>116</v>
      </c>
      <c r="H20" s="184" t="s">
        <v>76</v>
      </c>
      <c r="I20" s="199" t="s">
        <v>149</v>
      </c>
      <c r="J20" s="69"/>
      <c r="K20" s="69"/>
      <c r="L20" s="69"/>
      <c r="M20" s="70"/>
      <c r="N20" s="173"/>
      <c r="O20" s="45"/>
      <c r="P20" s="15"/>
      <c r="Q20" s="2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15.75" customHeight="1">
      <c r="A21" s="39"/>
      <c r="B21" s="193" t="s">
        <v>151</v>
      </c>
      <c r="C21" s="120"/>
      <c r="D21" s="195">
        <v>46021.0</v>
      </c>
      <c r="E21" s="197">
        <v>0.03</v>
      </c>
      <c r="F21" s="120"/>
      <c r="G21" s="198" t="s">
        <v>116</v>
      </c>
      <c r="H21" s="184" t="s">
        <v>152</v>
      </c>
      <c r="I21" s="199" t="s">
        <v>153</v>
      </c>
      <c r="J21" s="69"/>
      <c r="K21" s="69"/>
      <c r="L21" s="69"/>
      <c r="M21" s="70"/>
      <c r="N21" s="173"/>
      <c r="O21" s="45"/>
      <c r="P21" s="15"/>
      <c r="Q21" s="2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5.75" customHeight="1">
      <c r="A22" s="39"/>
      <c r="B22" s="193" t="s">
        <v>155</v>
      </c>
      <c r="C22" s="120"/>
      <c r="D22" s="195">
        <v>46097.0</v>
      </c>
      <c r="E22" s="197">
        <v>0.01</v>
      </c>
      <c r="F22" s="120"/>
      <c r="G22" s="198" t="s">
        <v>116</v>
      </c>
      <c r="H22" s="184" t="s">
        <v>76</v>
      </c>
      <c r="I22" s="199" t="s">
        <v>156</v>
      </c>
      <c r="J22" s="69"/>
      <c r="K22" s="69"/>
      <c r="L22" s="69"/>
      <c r="M22" s="70"/>
      <c r="N22" s="173"/>
      <c r="O22" s="45"/>
      <c r="P22" s="15"/>
      <c r="Q22" s="2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15.75" customHeight="1">
      <c r="A23" s="39"/>
      <c r="B23" s="193" t="s">
        <v>157</v>
      </c>
      <c r="C23" s="120"/>
      <c r="D23" s="195">
        <v>46097.0</v>
      </c>
      <c r="E23" s="197">
        <v>0.03</v>
      </c>
      <c r="F23" s="120"/>
      <c r="G23" s="198" t="s">
        <v>116</v>
      </c>
      <c r="H23" s="184" t="s">
        <v>158</v>
      </c>
      <c r="I23" s="199" t="s">
        <v>159</v>
      </c>
      <c r="J23" s="69"/>
      <c r="K23" s="69"/>
      <c r="L23" s="69"/>
      <c r="M23" s="70"/>
      <c r="N23" s="173"/>
      <c r="O23" s="45"/>
      <c r="P23" s="15"/>
      <c r="Q23" s="2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5.75" customHeight="1">
      <c r="A24" s="39"/>
      <c r="B24" s="193" t="s">
        <v>160</v>
      </c>
      <c r="C24" s="120"/>
      <c r="D24" s="195">
        <v>46105.0</v>
      </c>
      <c r="E24" s="197">
        <v>0.02</v>
      </c>
      <c r="F24" s="120"/>
      <c r="G24" s="198" t="s">
        <v>116</v>
      </c>
      <c r="H24" s="184" t="s">
        <v>76</v>
      </c>
      <c r="I24" s="199" t="s">
        <v>161</v>
      </c>
      <c r="J24" s="69"/>
      <c r="K24" s="69"/>
      <c r="L24" s="69"/>
      <c r="M24" s="70"/>
      <c r="N24" s="173"/>
      <c r="O24" s="45"/>
      <c r="P24" s="15"/>
      <c r="Q24" s="2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5.75" customHeight="1">
      <c r="A25" s="39"/>
      <c r="B25" s="193" t="s">
        <v>162</v>
      </c>
      <c r="C25" s="120"/>
      <c r="D25" s="195">
        <v>46150.0</v>
      </c>
      <c r="E25" s="197">
        <v>0.02</v>
      </c>
      <c r="F25" s="120"/>
      <c r="G25" s="198" t="s">
        <v>116</v>
      </c>
      <c r="H25" s="184" t="s">
        <v>163</v>
      </c>
      <c r="I25" s="199" t="s">
        <v>164</v>
      </c>
      <c r="J25" s="69"/>
      <c r="K25" s="69"/>
      <c r="L25" s="69"/>
      <c r="M25" s="70"/>
      <c r="N25" s="173"/>
      <c r="O25" s="45"/>
      <c r="P25" s="15"/>
      <c r="Q25" s="2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5.75" customHeight="1">
      <c r="A26" s="39"/>
      <c r="B26" s="193" t="s">
        <v>165</v>
      </c>
      <c r="C26" s="120"/>
      <c r="D26" s="195">
        <v>46168.0</v>
      </c>
      <c r="E26" s="197">
        <v>0.05</v>
      </c>
      <c r="F26" s="120"/>
      <c r="G26" s="198" t="s">
        <v>116</v>
      </c>
      <c r="H26" s="184" t="s">
        <v>76</v>
      </c>
      <c r="I26" s="199" t="s">
        <v>166</v>
      </c>
      <c r="J26" s="69"/>
      <c r="K26" s="69"/>
      <c r="L26" s="69"/>
      <c r="M26" s="70"/>
      <c r="N26" s="173"/>
      <c r="O26" s="45"/>
      <c r="P26" s="15"/>
      <c r="Q26" s="2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15.75" customHeight="1">
      <c r="A27" s="39"/>
      <c r="B27" s="193" t="s">
        <v>167</v>
      </c>
      <c r="C27" s="120"/>
      <c r="D27" s="195">
        <v>46168.0</v>
      </c>
      <c r="E27" s="197">
        <v>0.03</v>
      </c>
      <c r="F27" s="120"/>
      <c r="G27" s="198" t="s">
        <v>116</v>
      </c>
      <c r="H27" s="184" t="s">
        <v>76</v>
      </c>
      <c r="I27" s="199" t="s">
        <v>168</v>
      </c>
      <c r="J27" s="69"/>
      <c r="K27" s="69"/>
      <c r="L27" s="69"/>
      <c r="M27" s="70"/>
      <c r="N27" s="173"/>
      <c r="O27" s="45"/>
      <c r="P27" s="15"/>
      <c r="Q27" s="2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15.75" customHeight="1">
      <c r="A28" s="39"/>
      <c r="B28" s="193" t="s">
        <v>169</v>
      </c>
      <c r="C28" s="120"/>
      <c r="D28" s="195">
        <v>46387.0</v>
      </c>
      <c r="E28" s="197">
        <v>0.08</v>
      </c>
      <c r="F28" s="120"/>
      <c r="G28" s="231" t="s">
        <v>170</v>
      </c>
      <c r="H28" s="184" t="s">
        <v>152</v>
      </c>
      <c r="I28" s="199" t="s">
        <v>171</v>
      </c>
      <c r="J28" s="69"/>
      <c r="K28" s="69"/>
      <c r="L28" s="69"/>
      <c r="M28" s="70"/>
      <c r="N28" s="173"/>
      <c r="O28" s="45"/>
      <c r="P28" s="15"/>
      <c r="Q28" s="2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29.25" customHeight="1">
      <c r="A29" s="39"/>
      <c r="B29" s="193" t="s">
        <v>172</v>
      </c>
      <c r="C29" s="120"/>
      <c r="D29" s="195">
        <v>46387.0</v>
      </c>
      <c r="E29" s="197">
        <v>0.04</v>
      </c>
      <c r="F29" s="120"/>
      <c r="G29" s="231" t="s">
        <v>170</v>
      </c>
      <c r="H29" s="184" t="s">
        <v>76</v>
      </c>
      <c r="I29" s="233" t="s">
        <v>173</v>
      </c>
      <c r="J29" s="69"/>
      <c r="K29" s="69"/>
      <c r="L29" s="69"/>
      <c r="M29" s="70"/>
      <c r="N29" s="173"/>
      <c r="O29" s="45"/>
      <c r="P29" s="15"/>
      <c r="Q29" s="2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54.0" customHeight="1">
      <c r="A30" s="39"/>
      <c r="B30" s="193" t="s">
        <v>174</v>
      </c>
      <c r="C30" s="120"/>
      <c r="D30" s="195">
        <v>46568.0</v>
      </c>
      <c r="E30" s="197">
        <v>0.25</v>
      </c>
      <c r="F30" s="120"/>
      <c r="G30" s="234" t="s">
        <v>175</v>
      </c>
      <c r="H30" s="184" t="s">
        <v>176</v>
      </c>
      <c r="I30" s="199" t="s">
        <v>177</v>
      </c>
      <c r="J30" s="69"/>
      <c r="K30" s="69"/>
      <c r="L30" s="69"/>
      <c r="M30" s="70"/>
      <c r="N30" s="173"/>
      <c r="O30" s="45"/>
      <c r="P30" s="15"/>
      <c r="Q30" s="2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52.5" customHeight="1">
      <c r="A31" s="39"/>
      <c r="B31" s="193" t="s">
        <v>178</v>
      </c>
      <c r="C31" s="120"/>
      <c r="D31" s="195">
        <v>46568.0</v>
      </c>
      <c r="E31" s="197">
        <v>0.15</v>
      </c>
      <c r="F31" s="120"/>
      <c r="G31" s="231" t="s">
        <v>170</v>
      </c>
      <c r="H31" s="184" t="s">
        <v>158</v>
      </c>
      <c r="I31" s="199" t="s">
        <v>179</v>
      </c>
      <c r="J31" s="69"/>
      <c r="K31" s="69"/>
      <c r="L31" s="69"/>
      <c r="M31" s="70"/>
      <c r="N31" s="173"/>
      <c r="O31" s="45"/>
      <c r="P31" s="15"/>
      <c r="Q31" s="2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35.25" customHeight="1">
      <c r="A32" s="39"/>
      <c r="B32" s="193" t="s">
        <v>180</v>
      </c>
      <c r="C32" s="120"/>
      <c r="D32" s="195">
        <v>46295.0</v>
      </c>
      <c r="E32" s="197">
        <v>0.05</v>
      </c>
      <c r="F32" s="120"/>
      <c r="G32" s="234" t="s">
        <v>175</v>
      </c>
      <c r="H32" s="184" t="s">
        <v>181</v>
      </c>
      <c r="I32" s="199" t="s">
        <v>182</v>
      </c>
      <c r="J32" s="69"/>
      <c r="K32" s="69"/>
      <c r="L32" s="69"/>
      <c r="M32" s="70"/>
      <c r="N32" s="173"/>
      <c r="O32" s="45"/>
      <c r="P32" s="15"/>
      <c r="Q32" s="2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48.0" customHeight="1">
      <c r="A33" s="39"/>
      <c r="B33" s="193" t="s">
        <v>183</v>
      </c>
      <c r="C33" s="120"/>
      <c r="D33" s="195">
        <v>46568.0</v>
      </c>
      <c r="E33" s="197">
        <v>0.05</v>
      </c>
      <c r="F33" s="120"/>
      <c r="G33" s="231" t="s">
        <v>170</v>
      </c>
      <c r="H33" s="184" t="s">
        <v>184</v>
      </c>
      <c r="I33" s="199" t="s">
        <v>185</v>
      </c>
      <c r="J33" s="69"/>
      <c r="K33" s="69"/>
      <c r="L33" s="69"/>
      <c r="M33" s="70"/>
      <c r="N33" s="173"/>
      <c r="O33" s="45"/>
      <c r="P33" s="15"/>
      <c r="Q33" s="2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15.75" customHeight="1">
      <c r="A34" s="39"/>
      <c r="B34" s="237"/>
      <c r="C34" s="120"/>
      <c r="D34" s="238"/>
      <c r="E34" s="239"/>
      <c r="F34" s="120"/>
      <c r="G34" s="240"/>
      <c r="H34" s="241"/>
      <c r="I34" s="243"/>
      <c r="J34" s="69"/>
      <c r="K34" s="69"/>
      <c r="L34" s="69"/>
      <c r="M34" s="70"/>
      <c r="N34" s="173"/>
      <c r="O34" s="45"/>
      <c r="P34" s="15"/>
      <c r="Q34" s="2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15.75" customHeight="1">
      <c r="A35" s="39"/>
      <c r="B35" s="237"/>
      <c r="C35" s="120"/>
      <c r="D35" s="238"/>
      <c r="E35" s="239"/>
      <c r="F35" s="120"/>
      <c r="G35" s="240"/>
      <c r="H35" s="241"/>
      <c r="I35" s="243"/>
      <c r="J35" s="69"/>
      <c r="K35" s="69"/>
      <c r="L35" s="69"/>
      <c r="M35" s="70"/>
      <c r="N35" s="173"/>
      <c r="O35" s="45"/>
      <c r="P35" s="15"/>
      <c r="Q35" s="2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15.75" customHeight="1">
      <c r="A36" s="39"/>
      <c r="B36" s="237"/>
      <c r="C36" s="120"/>
      <c r="D36" s="238"/>
      <c r="E36" s="239"/>
      <c r="F36" s="120"/>
      <c r="G36" s="240"/>
      <c r="H36" s="241"/>
      <c r="I36" s="243"/>
      <c r="J36" s="69"/>
      <c r="K36" s="69"/>
      <c r="L36" s="69"/>
      <c r="M36" s="70"/>
      <c r="N36" s="173"/>
      <c r="O36" s="45"/>
      <c r="P36" s="15"/>
      <c r="Q36" s="2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15.75" customHeight="1">
      <c r="A37" s="39"/>
      <c r="B37" s="237"/>
      <c r="C37" s="120"/>
      <c r="D37" s="238"/>
      <c r="E37" s="239"/>
      <c r="F37" s="120"/>
      <c r="G37" s="240"/>
      <c r="H37" s="241"/>
      <c r="I37" s="243"/>
      <c r="J37" s="69"/>
      <c r="K37" s="69"/>
      <c r="L37" s="69"/>
      <c r="M37" s="70"/>
      <c r="N37" s="173"/>
      <c r="O37" s="45"/>
      <c r="P37" s="15"/>
      <c r="Q37" s="2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15.75" customHeight="1">
      <c r="A38" s="39"/>
      <c r="B38" s="244"/>
      <c r="C38" s="120"/>
      <c r="D38" s="238"/>
      <c r="E38" s="245"/>
      <c r="F38" s="120"/>
      <c r="G38" s="240"/>
      <c r="H38" s="241"/>
      <c r="I38" s="243"/>
      <c r="J38" s="69"/>
      <c r="K38" s="69"/>
      <c r="L38" s="69"/>
      <c r="M38" s="70"/>
      <c r="N38" s="173"/>
      <c r="O38" s="45"/>
      <c r="P38" s="15"/>
      <c r="Q38" s="2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15.75" customHeight="1">
      <c r="A39" s="39"/>
      <c r="B39" s="246"/>
      <c r="C39" s="247"/>
      <c r="D39" s="248"/>
      <c r="E39" s="249"/>
      <c r="F39" s="247"/>
      <c r="G39" s="250"/>
      <c r="H39" s="251"/>
      <c r="I39" s="252"/>
      <c r="J39" s="84"/>
      <c r="K39" s="84"/>
      <c r="L39" s="84"/>
      <c r="M39" s="85"/>
      <c r="N39" s="22"/>
      <c r="O39" s="45"/>
      <c r="P39" s="15"/>
      <c r="Q39" s="2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5.75" customHeight="1">
      <c r="A40" s="39"/>
      <c r="B40" s="22"/>
      <c r="C40" s="22"/>
      <c r="D40" s="22"/>
      <c r="E40" s="22"/>
      <c r="F40" s="22"/>
      <c r="G40" s="253"/>
      <c r="H40" s="22"/>
      <c r="I40" s="254"/>
      <c r="J40" s="254"/>
      <c r="K40" s="255"/>
      <c r="L40" s="173"/>
      <c r="M40" s="173"/>
      <c r="N40" s="22"/>
      <c r="O40" s="45"/>
      <c r="P40" s="15"/>
      <c r="Q40" s="2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15.75" customHeight="1">
      <c r="A41" s="39"/>
      <c r="B41" s="22"/>
      <c r="C41" s="22"/>
      <c r="D41" s="22"/>
      <c r="E41" s="22"/>
      <c r="F41" s="22"/>
      <c r="G41" s="253"/>
      <c r="H41" s="22"/>
      <c r="I41" s="255"/>
      <c r="J41" s="255"/>
      <c r="K41" s="255"/>
      <c r="L41" s="22"/>
      <c r="M41" s="22"/>
      <c r="N41" s="22"/>
      <c r="O41" s="45"/>
      <c r="P41" s="15"/>
      <c r="Q41" s="2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5.75" customHeight="1">
      <c r="A42" s="39"/>
      <c r="B42" s="22"/>
      <c r="C42" s="22"/>
      <c r="D42" s="22"/>
      <c r="E42" s="22"/>
      <c r="F42" s="22"/>
      <c r="G42" s="253"/>
      <c r="H42" s="22"/>
      <c r="I42" s="255"/>
      <c r="J42" s="255"/>
      <c r="K42" s="255"/>
      <c r="L42" s="22"/>
      <c r="M42" s="22"/>
      <c r="N42" s="22"/>
      <c r="O42" s="45"/>
      <c r="P42" s="15"/>
      <c r="Q42" s="2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5.75" customHeight="1">
      <c r="A43" s="39"/>
      <c r="B43" s="22"/>
      <c r="C43" s="22"/>
      <c r="D43" s="22"/>
      <c r="E43" s="22"/>
      <c r="F43" s="22"/>
      <c r="G43" s="253"/>
      <c r="H43" s="22"/>
      <c r="I43" s="22"/>
      <c r="J43" s="22"/>
      <c r="K43" s="22"/>
      <c r="L43" s="22"/>
      <c r="M43" s="22"/>
      <c r="N43" s="22"/>
      <c r="O43" s="45"/>
      <c r="P43" s="15"/>
      <c r="Q43" s="2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15.75" customHeight="1">
      <c r="A44" s="39"/>
      <c r="B44" s="22"/>
      <c r="C44" s="22"/>
      <c r="D44" s="22"/>
      <c r="E44" s="22"/>
      <c r="F44" s="22"/>
      <c r="G44" s="253"/>
      <c r="H44" s="22"/>
      <c r="I44" s="22"/>
      <c r="J44" s="22"/>
      <c r="K44" s="22"/>
      <c r="L44" s="22"/>
      <c r="M44" s="22"/>
      <c r="N44" s="22"/>
      <c r="O44" s="45"/>
      <c r="P44" s="15"/>
      <c r="Q44" s="2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5.75" customHeight="1">
      <c r="A45" s="39"/>
      <c r="B45" s="22"/>
      <c r="C45" s="22"/>
      <c r="D45" s="22"/>
      <c r="E45" s="22"/>
      <c r="F45" s="22"/>
      <c r="G45" s="253"/>
      <c r="H45" s="22"/>
      <c r="I45" s="22"/>
      <c r="J45" s="22"/>
      <c r="K45" s="22"/>
      <c r="L45" s="22"/>
      <c r="M45" s="22"/>
      <c r="N45" s="22"/>
      <c r="O45" s="45"/>
      <c r="P45" s="15"/>
      <c r="Q45" s="2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15.75" customHeight="1">
      <c r="A46" s="39"/>
      <c r="B46" s="22"/>
      <c r="C46" s="22"/>
      <c r="D46" s="22"/>
      <c r="E46" s="22"/>
      <c r="F46" s="22"/>
      <c r="G46" s="253"/>
      <c r="H46" s="22"/>
      <c r="I46" s="22"/>
      <c r="J46" s="22"/>
      <c r="K46" s="22"/>
      <c r="L46" s="22"/>
      <c r="M46" s="22"/>
      <c r="N46" s="22"/>
      <c r="O46" s="45"/>
      <c r="P46" s="15"/>
      <c r="Q46" s="2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15.75" customHeight="1">
      <c r="A47" s="39"/>
      <c r="B47" s="22"/>
      <c r="C47" s="22"/>
      <c r="D47" s="22"/>
      <c r="E47" s="22"/>
      <c r="F47" s="22"/>
      <c r="G47" s="253"/>
      <c r="H47" s="22"/>
      <c r="I47" s="22"/>
      <c r="J47" s="22"/>
      <c r="K47" s="22"/>
      <c r="L47" s="22"/>
      <c r="M47" s="22"/>
      <c r="N47" s="22"/>
      <c r="O47" s="45"/>
      <c r="P47" s="15"/>
      <c r="Q47" s="2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15.75" customHeight="1">
      <c r="A48" s="39"/>
      <c r="B48" s="22"/>
      <c r="C48" s="22"/>
      <c r="D48" s="22"/>
      <c r="E48" s="22"/>
      <c r="F48" s="22"/>
      <c r="G48" s="253"/>
      <c r="H48" s="22"/>
      <c r="I48" s="22"/>
      <c r="J48" s="22"/>
      <c r="K48" s="22"/>
      <c r="L48" s="22"/>
      <c r="M48" s="22"/>
      <c r="N48" s="22"/>
      <c r="O48" s="45"/>
      <c r="P48" s="15"/>
      <c r="Q48" s="2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15.75" customHeight="1">
      <c r="A49" s="39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45"/>
      <c r="P49" s="15"/>
      <c r="Q49" s="2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15.75" customHeight="1">
      <c r="A50" s="39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45"/>
      <c r="P50" s="15"/>
      <c r="Q50" s="2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15.75" customHeight="1">
      <c r="A51" s="39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4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15.75" customHeight="1">
      <c r="A52" s="39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4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15.75" customHeight="1">
      <c r="A53" s="39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4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15.75" customHeight="1">
      <c r="A54" s="39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4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5.75" customHeight="1">
      <c r="A55" s="39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4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5.75" customHeight="1">
      <c r="A56" s="39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4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5.75" customHeight="1">
      <c r="A57" s="39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4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5.75" customHeight="1">
      <c r="A58" s="39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4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5.75" customHeight="1">
      <c r="A59" s="39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4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256"/>
    </row>
    <row r="60" ht="15.75" customHeight="1">
      <c r="A60" s="39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4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256"/>
    </row>
    <row r="61" ht="15.75" customHeight="1">
      <c r="A61" s="39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4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256"/>
    </row>
    <row r="62" ht="15.75" customHeight="1">
      <c r="A62" s="39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4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256"/>
    </row>
    <row r="63" ht="15.75" customHeight="1">
      <c r="A63" s="39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4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256"/>
    </row>
    <row r="64" ht="15.75" customHeight="1">
      <c r="A64" s="39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4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256"/>
    </row>
    <row r="65" ht="15.75" customHeight="1">
      <c r="A65" s="39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4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5.75" customHeight="1">
      <c r="A66" s="39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4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5.75" customHeight="1">
      <c r="A67" s="39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4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15.75" customHeight="1">
      <c r="A68" s="39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4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5.75" customHeight="1">
      <c r="A69" s="39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4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5.75" customHeight="1">
      <c r="A70" s="39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4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15.75" customHeight="1">
      <c r="A71" s="39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4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15.75" customHeight="1">
      <c r="A72" s="39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4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15.75" customHeight="1">
      <c r="A73" s="39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4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5.75" customHeight="1">
      <c r="A74" s="39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4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15.75" customHeight="1">
      <c r="A75" s="39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4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5.75" customHeight="1">
      <c r="A76" s="39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4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15.75" customHeight="1">
      <c r="A77" s="39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4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15.75" customHeight="1">
      <c r="A78" s="257"/>
      <c r="B78" s="258"/>
      <c r="C78" s="258"/>
      <c r="D78" s="258"/>
      <c r="E78" s="258"/>
      <c r="F78" s="258"/>
      <c r="G78" s="258"/>
      <c r="H78" s="258"/>
      <c r="I78" s="258"/>
      <c r="J78" s="258"/>
      <c r="K78" s="258"/>
      <c r="L78" s="258"/>
      <c r="M78" s="258"/>
      <c r="N78" s="258"/>
      <c r="O78" s="259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83">
    <mergeCell ref="B22:C22"/>
    <mergeCell ref="B23:C23"/>
    <mergeCell ref="B24:C24"/>
    <mergeCell ref="B25:C25"/>
    <mergeCell ref="B26:C26"/>
    <mergeCell ref="B27:C27"/>
    <mergeCell ref="B28:C28"/>
    <mergeCell ref="B36:C36"/>
    <mergeCell ref="B37:C37"/>
    <mergeCell ref="B38:C38"/>
    <mergeCell ref="B39:C39"/>
    <mergeCell ref="B29:C29"/>
    <mergeCell ref="B30:C30"/>
    <mergeCell ref="B31:C31"/>
    <mergeCell ref="B32:C32"/>
    <mergeCell ref="B33:C33"/>
    <mergeCell ref="B34:C34"/>
    <mergeCell ref="B35:C35"/>
    <mergeCell ref="E23:F23"/>
    <mergeCell ref="E24:F24"/>
    <mergeCell ref="E25:F25"/>
    <mergeCell ref="E26:F26"/>
    <mergeCell ref="E27:F27"/>
    <mergeCell ref="E28:F28"/>
    <mergeCell ref="E29:F29"/>
    <mergeCell ref="E37:F37"/>
    <mergeCell ref="E38:F38"/>
    <mergeCell ref="E39:F39"/>
    <mergeCell ref="E30:F30"/>
    <mergeCell ref="E31:F31"/>
    <mergeCell ref="E32:F32"/>
    <mergeCell ref="E33:F33"/>
    <mergeCell ref="E34:F34"/>
    <mergeCell ref="E35:F35"/>
    <mergeCell ref="E36:F36"/>
    <mergeCell ref="C8:F8"/>
    <mergeCell ref="I8:N8"/>
    <mergeCell ref="C9:F10"/>
    <mergeCell ref="I9:N9"/>
    <mergeCell ref="I10:N10"/>
    <mergeCell ref="C11:F11"/>
    <mergeCell ref="I11:N11"/>
    <mergeCell ref="E17:F17"/>
    <mergeCell ref="E18:F18"/>
    <mergeCell ref="B9:B10"/>
    <mergeCell ref="B15:C15"/>
    <mergeCell ref="E15:F15"/>
    <mergeCell ref="B16:C16"/>
    <mergeCell ref="E16:F16"/>
    <mergeCell ref="B17:C17"/>
    <mergeCell ref="B18:C18"/>
    <mergeCell ref="I15:M15"/>
    <mergeCell ref="I16:M16"/>
    <mergeCell ref="I17:M17"/>
    <mergeCell ref="I18:M18"/>
    <mergeCell ref="I19:M19"/>
    <mergeCell ref="I20:M20"/>
    <mergeCell ref="I21:M21"/>
    <mergeCell ref="B19:C19"/>
    <mergeCell ref="E19:F19"/>
    <mergeCell ref="B20:C20"/>
    <mergeCell ref="E20:F20"/>
    <mergeCell ref="B21:C21"/>
    <mergeCell ref="E21:F21"/>
    <mergeCell ref="E22:F22"/>
    <mergeCell ref="I22:M22"/>
    <mergeCell ref="I23:M23"/>
    <mergeCell ref="I24:M24"/>
    <mergeCell ref="I25:M25"/>
    <mergeCell ref="I26:M26"/>
    <mergeCell ref="I27:M27"/>
    <mergeCell ref="I28:M28"/>
    <mergeCell ref="I36:M36"/>
    <mergeCell ref="I37:M37"/>
    <mergeCell ref="I38:M38"/>
    <mergeCell ref="I39:M39"/>
    <mergeCell ref="I29:M29"/>
    <mergeCell ref="I30:M30"/>
    <mergeCell ref="I31:M31"/>
    <mergeCell ref="I32:M32"/>
    <mergeCell ref="I33:M33"/>
    <mergeCell ref="I34:M34"/>
    <mergeCell ref="I35:M35"/>
  </mergeCells>
  <conditionalFormatting sqref="G16:I39">
    <cfRule type="cellIs" dxfId="6" priority="1" operator="equal">
      <formula>"A iniciar"</formula>
    </cfRule>
  </conditionalFormatting>
  <conditionalFormatting sqref="G16:I39">
    <cfRule type="cellIs" dxfId="7" priority="2" operator="equal">
      <formula>"Em andamento"</formula>
    </cfRule>
  </conditionalFormatting>
  <conditionalFormatting sqref="G16:I39">
    <cfRule type="cellIs" dxfId="2" priority="3" operator="equal">
      <formula>"Concluído"</formula>
    </cfRule>
  </conditionalFormatting>
  <conditionalFormatting sqref="G16:I39">
    <cfRule type="cellIs" dxfId="5" priority="4" operator="equal">
      <formula>"Atrasado"</formula>
    </cfRule>
  </conditionalFormatting>
  <dataValidations>
    <dataValidation type="list" allowBlank="1" showErrorMessage="1" sqref="G16:G39">
      <formula1>"A iniciar,Em andamento,Concluído,Atrasado,Suspenso,Cancelado"</formula1>
    </dataValidation>
    <dataValidation type="list" allowBlank="1" showErrorMessage="1" sqref="H34:H39">
      <formula1>'Identificação do projeto'!$C$27:$E$36</formula1>
    </dataValidation>
    <dataValidation type="list" allowBlank="1" showErrorMessage="1" sqref="H16:H33">
      <formula1>#REF!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24.25"/>
    <col customWidth="1" min="3" max="3" width="27.25"/>
    <col customWidth="1" min="6" max="6" width="1.63"/>
    <col customWidth="1" min="7" max="7" width="9.75"/>
    <col customWidth="1" min="8" max="8" width="23.75"/>
    <col customWidth="1" min="9" max="9" width="15.38"/>
    <col customWidth="1" min="10" max="10" width="10.88"/>
    <col customWidth="1" min="11" max="12" width="11.0"/>
    <col customWidth="1" min="13" max="13" width="10.88"/>
    <col customWidth="1" min="14" max="14" width="10.25"/>
    <col customWidth="1" min="15" max="15" width="10.63"/>
    <col customWidth="1" min="16" max="16" width="10.13"/>
    <col customWidth="1" min="17" max="17" width="11.0"/>
    <col customWidth="1" min="18" max="18" width="11.13"/>
    <col customWidth="1" min="19" max="19" width="13.63"/>
  </cols>
  <sheetData>
    <row r="1" ht="15.75" customHeight="1">
      <c r="A1" s="260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61"/>
      <c r="Q1" s="261"/>
      <c r="R1" s="261"/>
      <c r="S1" s="52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26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173"/>
      <c r="Q2" s="173"/>
      <c r="R2" s="173"/>
      <c r="S2" s="263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26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173"/>
      <c r="Q3" s="173"/>
      <c r="R3" s="173"/>
      <c r="S3" s="263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26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173"/>
      <c r="Q4" s="173"/>
      <c r="R4" s="173"/>
      <c r="S4" s="263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26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173"/>
      <c r="Q5" s="173"/>
      <c r="R5" s="173"/>
      <c r="S5" s="263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6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173"/>
      <c r="Q6" s="173"/>
      <c r="R6" s="173"/>
      <c r="S6" s="263"/>
      <c r="T6" s="15"/>
      <c r="U6" s="15"/>
      <c r="V6" s="15"/>
      <c r="W6" s="15"/>
      <c r="X6" s="15"/>
      <c r="Y6" s="15"/>
      <c r="Z6" s="15"/>
      <c r="AA6" s="15"/>
      <c r="AB6" s="15"/>
    </row>
    <row r="7" ht="19.5" customHeight="1">
      <c r="A7" s="26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173"/>
      <c r="Q7" s="173"/>
      <c r="R7" s="173"/>
      <c r="S7" s="263"/>
      <c r="T7" s="15"/>
      <c r="U7" s="15"/>
      <c r="V7" s="15"/>
      <c r="W7" s="15"/>
      <c r="X7" s="15"/>
      <c r="Y7" s="15"/>
      <c r="Z7" s="15"/>
      <c r="AA7" s="15"/>
      <c r="AB7" s="15"/>
    </row>
    <row r="8" ht="30.0" customHeight="1">
      <c r="A8" s="264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173"/>
      <c r="Q8" s="173"/>
      <c r="R8" s="173"/>
      <c r="S8" s="263"/>
      <c r="T8" s="15"/>
      <c r="U8" s="15"/>
      <c r="V8" s="15"/>
      <c r="W8" s="15"/>
      <c r="X8" s="15"/>
      <c r="Y8" s="15"/>
      <c r="Z8" s="15"/>
      <c r="AA8" s="15"/>
      <c r="AB8" s="15"/>
    </row>
    <row r="9" ht="24.75" customHeight="1">
      <c r="A9" s="265"/>
      <c r="B9" s="59" t="s">
        <v>27</v>
      </c>
      <c r="C9" s="61" t="s">
        <v>30</v>
      </c>
      <c r="D9" s="62"/>
      <c r="E9" s="62"/>
      <c r="F9" s="63"/>
      <c r="G9" s="56"/>
      <c r="H9" s="59" t="s">
        <v>32</v>
      </c>
      <c r="I9" s="61" t="s">
        <v>33</v>
      </c>
      <c r="J9" s="62"/>
      <c r="K9" s="62"/>
      <c r="L9" s="62"/>
      <c r="M9" s="62"/>
      <c r="N9" s="62"/>
      <c r="O9" s="63"/>
      <c r="P9" s="266"/>
      <c r="Q9" s="267"/>
      <c r="R9" s="267"/>
      <c r="S9" s="268"/>
      <c r="T9" s="149"/>
      <c r="U9" s="149"/>
      <c r="V9" s="149"/>
      <c r="W9" s="149"/>
      <c r="X9" s="149"/>
      <c r="Y9" s="149"/>
      <c r="Z9" s="149"/>
      <c r="AA9" s="149"/>
      <c r="AB9" s="149"/>
    </row>
    <row r="10" ht="24.75" customHeight="1">
      <c r="A10" s="264"/>
      <c r="B10" s="59" t="s">
        <v>37</v>
      </c>
      <c r="C10" s="64" t="s">
        <v>38</v>
      </c>
      <c r="D10" s="65"/>
      <c r="E10" s="65"/>
      <c r="F10" s="66"/>
      <c r="G10" s="56"/>
      <c r="H10" s="67" t="s">
        <v>40</v>
      </c>
      <c r="I10" s="68" t="s">
        <v>41</v>
      </c>
      <c r="J10" s="69"/>
      <c r="K10" s="69"/>
      <c r="L10" s="69"/>
      <c r="M10" s="69"/>
      <c r="N10" s="69"/>
      <c r="O10" s="70"/>
      <c r="P10" s="269"/>
      <c r="Q10" s="143"/>
      <c r="R10" s="143"/>
      <c r="S10" s="270"/>
      <c r="T10" s="149"/>
      <c r="U10" s="149"/>
      <c r="V10" s="149"/>
      <c r="W10" s="149"/>
      <c r="X10" s="149"/>
      <c r="Y10" s="149"/>
      <c r="Z10" s="149"/>
      <c r="AA10" s="149"/>
      <c r="AB10" s="149"/>
    </row>
    <row r="11" ht="24.75" customHeight="1">
      <c r="A11" s="264"/>
      <c r="C11" s="73"/>
      <c r="D11" s="74"/>
      <c r="E11" s="74"/>
      <c r="F11" s="76"/>
      <c r="G11" s="56"/>
      <c r="H11" s="77" t="s">
        <v>46</v>
      </c>
      <c r="I11" s="64" t="str">
        <f>'Identificação do projeto'!J11</f>
        <v>Base Integrada de Segurança Pública - BISP</v>
      </c>
      <c r="J11" s="65"/>
      <c r="K11" s="65"/>
      <c r="L11" s="65"/>
      <c r="M11" s="65"/>
      <c r="N11" s="65"/>
      <c r="O11" s="66"/>
      <c r="P11" s="269"/>
      <c r="Q11" s="143"/>
      <c r="R11" s="143"/>
      <c r="S11" s="270"/>
      <c r="T11" s="149"/>
      <c r="U11" s="149"/>
      <c r="V11" s="149"/>
      <c r="W11" s="149"/>
      <c r="X11" s="149"/>
      <c r="Y11" s="149"/>
      <c r="Z11" s="149"/>
      <c r="AA11" s="149"/>
      <c r="AB11" s="149"/>
    </row>
    <row r="12" ht="24.75" customHeight="1">
      <c r="A12" s="264"/>
      <c r="B12" s="59" t="s">
        <v>49</v>
      </c>
      <c r="C12" s="82" t="s">
        <v>51</v>
      </c>
      <c r="D12" s="84"/>
      <c r="E12" s="84"/>
      <c r="F12" s="85"/>
      <c r="G12" s="56"/>
      <c r="H12" s="67" t="s">
        <v>53</v>
      </c>
      <c r="I12" s="82" t="s">
        <v>56</v>
      </c>
      <c r="J12" s="84"/>
      <c r="K12" s="84"/>
      <c r="L12" s="84"/>
      <c r="M12" s="84"/>
      <c r="N12" s="84"/>
      <c r="O12" s="85"/>
      <c r="P12" s="143"/>
      <c r="Q12" s="143"/>
      <c r="R12" s="143"/>
      <c r="S12" s="270"/>
      <c r="T12" s="149"/>
      <c r="U12" s="149"/>
      <c r="V12" s="149"/>
      <c r="W12" s="149"/>
      <c r="X12" s="149"/>
      <c r="Y12" s="149"/>
      <c r="Z12" s="149"/>
      <c r="AA12" s="149"/>
      <c r="AB12" s="149"/>
    </row>
    <row r="13" ht="15.75" customHeight="1">
      <c r="A13" s="262"/>
      <c r="B13" s="253"/>
      <c r="C13" s="253"/>
      <c r="D13" s="253"/>
      <c r="E13" s="253"/>
      <c r="F13" s="253"/>
      <c r="G13" s="22"/>
      <c r="H13" s="22"/>
      <c r="I13" s="22"/>
      <c r="J13" s="22"/>
      <c r="K13" s="22"/>
      <c r="L13" s="22"/>
      <c r="M13" s="22"/>
      <c r="N13" s="22"/>
      <c r="O13" s="22"/>
      <c r="P13" s="173"/>
      <c r="Q13" s="173"/>
      <c r="R13" s="173"/>
      <c r="S13" s="263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262"/>
      <c r="B14" s="276" t="s">
        <v>186</v>
      </c>
      <c r="C14" s="94"/>
      <c r="D14" s="94"/>
      <c r="E14" s="94"/>
      <c r="F14" s="107"/>
      <c r="G14" s="22"/>
      <c r="H14" s="278" t="s">
        <v>187</v>
      </c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279"/>
      <c r="T14" s="280"/>
      <c r="U14" s="280"/>
      <c r="V14" s="280"/>
      <c r="W14" s="280"/>
      <c r="X14" s="256"/>
      <c r="Y14" s="15"/>
      <c r="Z14" s="15"/>
      <c r="AA14" s="15"/>
      <c r="AB14" s="15"/>
    </row>
    <row r="15" ht="15.75" customHeight="1">
      <c r="A15" s="262"/>
      <c r="B15" s="281"/>
      <c r="C15" s="5"/>
      <c r="D15" s="5"/>
      <c r="E15" s="5"/>
      <c r="F15" s="12"/>
      <c r="G15" s="22"/>
      <c r="H15" s="282"/>
      <c r="I15" s="283"/>
      <c r="J15" s="284"/>
      <c r="K15" s="283"/>
      <c r="L15" s="284"/>
      <c r="M15" s="285"/>
      <c r="N15" s="284"/>
      <c r="O15" s="286"/>
      <c r="P15" s="287"/>
      <c r="Q15" s="288"/>
      <c r="R15" s="287"/>
      <c r="S15" s="288"/>
      <c r="T15" s="25"/>
      <c r="U15" s="280"/>
      <c r="V15" s="289"/>
      <c r="W15" s="280"/>
      <c r="X15" s="256"/>
      <c r="Y15" s="15"/>
      <c r="Z15" s="15"/>
      <c r="AA15" s="15"/>
      <c r="AB15" s="15"/>
    </row>
    <row r="16" ht="18.75" customHeight="1">
      <c r="A16" s="262"/>
      <c r="B16" s="30"/>
      <c r="F16" s="29"/>
      <c r="G16" s="22"/>
      <c r="H16" s="290"/>
      <c r="I16" s="291"/>
      <c r="J16" s="291"/>
      <c r="K16" s="291"/>
      <c r="L16" s="291"/>
      <c r="M16" s="291"/>
      <c r="N16" s="291"/>
      <c r="O16" s="291"/>
      <c r="P16" s="291"/>
      <c r="Q16" s="291"/>
      <c r="R16" s="291"/>
      <c r="S16" s="292"/>
      <c r="T16" s="293" t="str">
        <f>H16</f>
        <v/>
      </c>
      <c r="U16" s="280"/>
      <c r="V16" s="289"/>
      <c r="W16" s="280"/>
      <c r="X16" s="256"/>
      <c r="Y16" s="15"/>
      <c r="Z16" s="15"/>
      <c r="AA16" s="15"/>
      <c r="AB16" s="15"/>
    </row>
    <row r="17" ht="15.75" customHeight="1">
      <c r="A17" s="262"/>
      <c r="B17" s="30"/>
      <c r="F17" s="29"/>
      <c r="G17" s="22"/>
      <c r="H17" s="55"/>
      <c r="I17" s="55"/>
      <c r="J17" s="55"/>
      <c r="K17" s="55"/>
      <c r="L17" s="55"/>
      <c r="M17" s="55"/>
      <c r="N17" s="55"/>
      <c r="O17" s="55"/>
      <c r="P17" s="104"/>
      <c r="Q17" s="104"/>
      <c r="R17" s="104"/>
      <c r="S17" s="263"/>
      <c r="T17" s="293" t="str">
        <f>I16</f>
        <v/>
      </c>
      <c r="U17" s="280"/>
      <c r="V17" s="295"/>
      <c r="W17" s="280"/>
      <c r="X17" s="256"/>
      <c r="Y17" s="15"/>
      <c r="Z17" s="15"/>
      <c r="AA17" s="15"/>
      <c r="AB17" s="15"/>
    </row>
    <row r="18" ht="15.75" customHeight="1">
      <c r="A18" s="262"/>
      <c r="B18" s="30"/>
      <c r="F18" s="29"/>
      <c r="G18" s="22"/>
      <c r="H18" s="296"/>
      <c r="I18" s="297" t="s">
        <v>188</v>
      </c>
      <c r="J18" s="298">
        <f t="shared" ref="J18:J19" si="1">TODAY()</f>
        <v>46237</v>
      </c>
      <c r="K18" s="299">
        <v>0.55</v>
      </c>
      <c r="L18" s="296"/>
      <c r="M18" s="300" t="s">
        <v>189</v>
      </c>
      <c r="P18" s="301" t="str">
        <f>K19/K18</f>
        <v>#NUM!</v>
      </c>
      <c r="Q18" s="302"/>
      <c r="R18" s="303"/>
      <c r="S18" s="263"/>
      <c r="T18" s="293" t="str">
        <f>J16</f>
        <v/>
      </c>
      <c r="U18" s="280"/>
      <c r="V18" s="289"/>
      <c r="W18" s="280"/>
      <c r="X18" s="256"/>
      <c r="Y18" s="15"/>
      <c r="Z18" s="15"/>
      <c r="AA18" s="15"/>
      <c r="AB18" s="15"/>
    </row>
    <row r="19" ht="15.75" customHeight="1">
      <c r="A19" s="262"/>
      <c r="B19" s="97"/>
      <c r="C19" s="98"/>
      <c r="D19" s="98"/>
      <c r="E19" s="98"/>
      <c r="F19" s="102"/>
      <c r="G19" s="22"/>
      <c r="H19" s="296"/>
      <c r="I19" s="297" t="s">
        <v>190</v>
      </c>
      <c r="J19" s="298">
        <f t="shared" si="1"/>
        <v>46237</v>
      </c>
      <c r="K19" s="299" t="str">
        <f>LARGE(H16:O16,1)</f>
        <v>#NUM!</v>
      </c>
      <c r="L19" s="296"/>
      <c r="Q19" s="302"/>
      <c r="R19" s="104"/>
      <c r="S19" s="263"/>
      <c r="T19" s="293" t="str">
        <f>K16</f>
        <v/>
      </c>
      <c r="U19" s="280"/>
      <c r="V19" s="295"/>
      <c r="W19" s="280"/>
      <c r="X19" s="256"/>
      <c r="Y19" s="15"/>
      <c r="Z19" s="15"/>
      <c r="AA19" s="15"/>
      <c r="AB19" s="15"/>
    </row>
    <row r="20" ht="15.75" customHeight="1">
      <c r="A20" s="262"/>
      <c r="B20" s="304"/>
      <c r="C20" s="304"/>
      <c r="D20" s="304"/>
      <c r="E20" s="304"/>
      <c r="F20" s="304"/>
      <c r="G20" s="22"/>
      <c r="H20" s="296"/>
      <c r="I20" s="296"/>
      <c r="J20" s="296"/>
      <c r="K20" s="296"/>
      <c r="L20" s="296"/>
      <c r="M20" s="302" t="s">
        <v>191</v>
      </c>
      <c r="Q20" s="302"/>
      <c r="R20" s="104"/>
      <c r="S20" s="263"/>
      <c r="T20" s="293" t="str">
        <f>L16</f>
        <v/>
      </c>
      <c r="U20" s="280"/>
      <c r="V20" s="289"/>
      <c r="W20" s="280"/>
      <c r="X20" s="256"/>
      <c r="Y20" s="15"/>
      <c r="Z20" s="15"/>
      <c r="AA20" s="15"/>
      <c r="AB20" s="15"/>
    </row>
    <row r="21" ht="27.0" customHeight="1">
      <c r="A21" s="262"/>
      <c r="B21" s="276" t="s">
        <v>192</v>
      </c>
      <c r="C21" s="94"/>
      <c r="D21" s="94"/>
      <c r="E21" s="94"/>
      <c r="F21" s="94"/>
      <c r="G21" s="94"/>
      <c r="H21" s="94"/>
      <c r="I21" s="107"/>
      <c r="J21" s="22"/>
      <c r="K21" s="22"/>
      <c r="L21" s="22"/>
      <c r="M21" s="22"/>
      <c r="N21" s="22"/>
      <c r="O21" s="22"/>
      <c r="P21" s="173"/>
      <c r="Q21" s="173"/>
      <c r="R21" s="173"/>
      <c r="S21" s="263"/>
      <c r="T21" s="306" t="str">
        <f>M16</f>
        <v/>
      </c>
      <c r="U21" s="280"/>
      <c r="V21" s="295"/>
      <c r="W21" s="280"/>
      <c r="X21" s="256"/>
      <c r="Y21" s="15"/>
      <c r="Z21" s="15"/>
      <c r="AA21" s="15"/>
      <c r="AB21" s="15"/>
    </row>
    <row r="22" ht="15.75" customHeight="1">
      <c r="A22" s="262"/>
      <c r="B22" s="307" t="s">
        <v>194</v>
      </c>
      <c r="C22" s="309"/>
      <c r="I22" s="29"/>
      <c r="J22" s="22"/>
      <c r="K22" s="22"/>
      <c r="L22" s="22"/>
      <c r="M22" s="22"/>
      <c r="N22" s="22"/>
      <c r="O22" s="22"/>
      <c r="P22" s="173"/>
      <c r="Q22" s="173"/>
      <c r="R22" s="173"/>
      <c r="S22" s="263"/>
      <c r="T22" s="293" t="str">
        <f>N16</f>
        <v/>
      </c>
      <c r="U22" s="280"/>
      <c r="V22" s="289"/>
      <c r="W22" s="280"/>
      <c r="X22" s="256"/>
      <c r="Y22" s="15"/>
      <c r="Z22" s="15"/>
      <c r="AA22" s="15"/>
      <c r="AB22" s="15"/>
    </row>
    <row r="23" ht="15.75" customHeight="1">
      <c r="A23" s="262"/>
      <c r="B23" s="310"/>
      <c r="C23" s="32"/>
      <c r="I23" s="29"/>
      <c r="J23" s="22"/>
      <c r="K23" s="22"/>
      <c r="L23" s="311"/>
      <c r="M23" s="22"/>
      <c r="N23" s="22"/>
      <c r="O23" s="22"/>
      <c r="P23" s="173"/>
      <c r="Q23" s="173"/>
      <c r="R23" s="173"/>
      <c r="S23" s="263"/>
      <c r="T23" s="312" t="str">
        <f>O16</f>
        <v/>
      </c>
      <c r="U23" s="280"/>
      <c r="V23" s="295"/>
      <c r="W23" s="280"/>
      <c r="X23" s="256"/>
      <c r="Y23" s="15"/>
      <c r="Z23" s="15"/>
      <c r="AA23" s="15"/>
      <c r="AB23" s="15"/>
    </row>
    <row r="24" ht="15.75" customHeight="1">
      <c r="A24" s="262"/>
      <c r="B24" s="310"/>
      <c r="C24" s="32"/>
      <c r="I24" s="29"/>
      <c r="J24" s="22"/>
      <c r="K24" s="22"/>
      <c r="L24" s="22"/>
      <c r="M24" s="22"/>
      <c r="N24" s="22"/>
      <c r="O24" s="22"/>
      <c r="P24" s="173"/>
      <c r="Q24" s="173"/>
      <c r="R24" s="173"/>
      <c r="S24" s="263"/>
      <c r="T24" s="280"/>
      <c r="U24" s="280"/>
      <c r="V24" s="314"/>
      <c r="W24" s="280"/>
      <c r="X24" s="256"/>
      <c r="Y24" s="15"/>
      <c r="Z24" s="15"/>
      <c r="AA24" s="15"/>
      <c r="AB24" s="15"/>
    </row>
    <row r="25" ht="15.75" customHeight="1">
      <c r="A25" s="262"/>
      <c r="B25" s="310"/>
      <c r="C25" s="32"/>
      <c r="I25" s="29"/>
      <c r="J25" s="22"/>
      <c r="K25" s="22"/>
      <c r="L25" s="22"/>
      <c r="M25" s="22"/>
      <c r="N25" s="22"/>
      <c r="O25" s="22"/>
      <c r="P25" s="173"/>
      <c r="Q25" s="173"/>
      <c r="R25" s="173"/>
      <c r="S25" s="263"/>
      <c r="T25" s="280"/>
      <c r="U25" s="280"/>
      <c r="V25" s="314"/>
      <c r="W25" s="280"/>
      <c r="X25" s="256"/>
      <c r="Y25" s="15"/>
      <c r="Z25" s="15"/>
      <c r="AA25" s="15"/>
      <c r="AB25" s="15"/>
    </row>
    <row r="26" ht="15.75" customHeight="1">
      <c r="A26" s="262"/>
      <c r="B26" s="315"/>
      <c r="C26" s="44"/>
      <c r="D26" s="41"/>
      <c r="E26" s="41"/>
      <c r="F26" s="41"/>
      <c r="G26" s="41"/>
      <c r="H26" s="41"/>
      <c r="I26" s="46"/>
      <c r="J26" s="22"/>
      <c r="K26" s="22"/>
      <c r="L26" s="22"/>
      <c r="M26" s="22"/>
      <c r="N26" s="22"/>
      <c r="O26" s="22"/>
      <c r="P26" s="173"/>
      <c r="Q26" s="173"/>
      <c r="R26" s="173"/>
      <c r="S26" s="263"/>
      <c r="T26" s="280"/>
      <c r="U26" s="280"/>
      <c r="V26" s="314"/>
      <c r="W26" s="280"/>
      <c r="X26" s="256"/>
      <c r="Y26" s="15"/>
      <c r="Z26" s="15"/>
      <c r="AA26" s="15"/>
      <c r="AB26" s="15"/>
    </row>
    <row r="27" ht="15.75" customHeight="1">
      <c r="A27" s="262"/>
      <c r="B27" s="316" t="s">
        <v>196</v>
      </c>
      <c r="C27" s="317"/>
      <c r="D27" s="49"/>
      <c r="E27" s="49"/>
      <c r="F27" s="49"/>
      <c r="G27" s="49"/>
      <c r="H27" s="49"/>
      <c r="I27" s="53"/>
      <c r="J27" s="22"/>
      <c r="K27" s="22"/>
      <c r="L27" s="22"/>
      <c r="M27" s="22"/>
      <c r="N27" s="22"/>
      <c r="O27" s="22"/>
      <c r="P27" s="173"/>
      <c r="Q27" s="173"/>
      <c r="R27" s="173"/>
      <c r="S27" s="263"/>
      <c r="T27" s="280"/>
      <c r="U27" s="280"/>
      <c r="V27" s="280"/>
      <c r="W27" s="280"/>
      <c r="X27" s="256"/>
      <c r="Y27" s="15"/>
      <c r="Z27" s="15"/>
      <c r="AA27" s="15"/>
      <c r="AB27" s="15"/>
    </row>
    <row r="28" ht="15.75" customHeight="1">
      <c r="A28" s="262"/>
      <c r="B28" s="310"/>
      <c r="C28" s="32"/>
      <c r="I28" s="29"/>
      <c r="J28" s="22"/>
      <c r="K28" s="22"/>
      <c r="L28" s="22"/>
      <c r="M28" s="22"/>
      <c r="N28" s="22"/>
      <c r="O28" s="22"/>
      <c r="P28" s="173"/>
      <c r="Q28" s="173"/>
      <c r="R28" s="173"/>
      <c r="S28" s="263"/>
      <c r="T28" s="25"/>
      <c r="U28" s="25"/>
      <c r="V28" s="25"/>
      <c r="W28" s="25"/>
      <c r="X28" s="256"/>
      <c r="Y28" s="15"/>
      <c r="Z28" s="15"/>
      <c r="AA28" s="15"/>
      <c r="AB28" s="15"/>
    </row>
    <row r="29" ht="15.75" customHeight="1">
      <c r="A29" s="262"/>
      <c r="B29" s="310"/>
      <c r="C29" s="32"/>
      <c r="I29" s="29"/>
      <c r="J29" s="22"/>
      <c r="K29" s="22"/>
      <c r="L29" s="22"/>
      <c r="M29" s="22"/>
      <c r="N29" s="22"/>
      <c r="O29" s="22"/>
      <c r="P29" s="173"/>
      <c r="Q29" s="173"/>
      <c r="R29" s="173"/>
      <c r="S29" s="263"/>
      <c r="T29" s="25"/>
      <c r="U29" s="25"/>
      <c r="V29" s="25"/>
      <c r="W29" s="25"/>
      <c r="X29" s="15"/>
      <c r="Y29" s="15"/>
      <c r="Z29" s="15"/>
      <c r="AA29" s="15"/>
      <c r="AB29" s="15"/>
    </row>
    <row r="30" ht="15.75" customHeight="1">
      <c r="A30" s="262"/>
      <c r="B30" s="310"/>
      <c r="C30" s="32"/>
      <c r="I30" s="29"/>
      <c r="J30" s="22"/>
      <c r="K30" s="22"/>
      <c r="L30" s="22"/>
      <c r="M30" s="22"/>
      <c r="N30" s="22"/>
      <c r="O30" s="22"/>
      <c r="P30" s="173"/>
      <c r="Q30" s="173"/>
      <c r="R30" s="173"/>
      <c r="S30" s="263"/>
      <c r="T30" s="25"/>
      <c r="U30" s="25"/>
      <c r="V30" s="25"/>
      <c r="W30" s="25"/>
      <c r="X30" s="15"/>
      <c r="Y30" s="15"/>
      <c r="Z30" s="15"/>
      <c r="AA30" s="15"/>
      <c r="AB30" s="15"/>
    </row>
    <row r="31" ht="15.75" customHeight="1">
      <c r="A31" s="262"/>
      <c r="B31" s="315"/>
      <c r="C31" s="44"/>
      <c r="D31" s="41"/>
      <c r="E31" s="41"/>
      <c r="F31" s="41"/>
      <c r="G31" s="41"/>
      <c r="H31" s="41"/>
      <c r="I31" s="46"/>
      <c r="J31" s="22"/>
      <c r="K31" s="22"/>
      <c r="L31" s="22"/>
      <c r="M31" s="22"/>
      <c r="N31" s="22"/>
      <c r="O31" s="22"/>
      <c r="P31" s="173"/>
      <c r="Q31" s="173"/>
      <c r="R31" s="173"/>
      <c r="S31" s="263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262"/>
      <c r="B32" s="316" t="s">
        <v>197</v>
      </c>
      <c r="C32" s="318" t="s">
        <v>198</v>
      </c>
      <c r="D32" s="49"/>
      <c r="E32" s="49"/>
      <c r="F32" s="49"/>
      <c r="G32" s="49"/>
      <c r="H32" s="49"/>
      <c r="I32" s="53"/>
      <c r="J32" s="22"/>
      <c r="K32" s="22"/>
      <c r="L32" s="22"/>
      <c r="M32" s="22"/>
      <c r="N32" s="22"/>
      <c r="O32" s="22"/>
      <c r="P32" s="173"/>
      <c r="Q32" s="173"/>
      <c r="R32" s="173"/>
      <c r="S32" s="263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262"/>
      <c r="B33" s="310"/>
      <c r="C33" s="32"/>
      <c r="I33" s="29"/>
      <c r="J33" s="22"/>
      <c r="K33" s="22"/>
      <c r="L33" s="22"/>
      <c r="M33" s="22"/>
      <c r="N33" s="22"/>
      <c r="O33" s="22"/>
      <c r="P33" s="173"/>
      <c r="Q33" s="173"/>
      <c r="R33" s="173"/>
      <c r="S33" s="263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262"/>
      <c r="B34" s="310"/>
      <c r="C34" s="32"/>
      <c r="I34" s="29"/>
      <c r="J34" s="22"/>
      <c r="K34" s="22"/>
      <c r="L34" s="22"/>
      <c r="M34" s="22"/>
      <c r="N34" s="22"/>
      <c r="O34" s="22"/>
      <c r="P34" s="173"/>
      <c r="Q34" s="173"/>
      <c r="R34" s="173"/>
      <c r="S34" s="263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262"/>
      <c r="B35" s="310"/>
      <c r="C35" s="32"/>
      <c r="I35" s="29"/>
      <c r="J35" s="22"/>
      <c r="K35" s="22"/>
      <c r="L35" s="22"/>
      <c r="M35" s="22"/>
      <c r="N35" s="22"/>
      <c r="O35" s="22"/>
      <c r="P35" s="173"/>
      <c r="Q35" s="173"/>
      <c r="R35" s="173"/>
      <c r="S35" s="263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262"/>
      <c r="B36" s="315"/>
      <c r="C36" s="44"/>
      <c r="D36" s="41"/>
      <c r="E36" s="41"/>
      <c r="F36" s="41"/>
      <c r="G36" s="41"/>
      <c r="H36" s="41"/>
      <c r="I36" s="46"/>
      <c r="J36" s="22"/>
      <c r="K36" s="22"/>
      <c r="L36" s="22"/>
      <c r="M36" s="22"/>
      <c r="N36" s="22"/>
      <c r="O36" s="22"/>
      <c r="P36" s="173"/>
      <c r="Q36" s="173"/>
      <c r="R36" s="173"/>
      <c r="S36" s="263"/>
      <c r="T36" s="15"/>
      <c r="U36" s="15"/>
      <c r="V36" s="15"/>
      <c r="W36" s="327"/>
      <c r="X36" s="15"/>
      <c r="Y36" s="15"/>
      <c r="Z36" s="15"/>
      <c r="AA36" s="15"/>
      <c r="AB36" s="15"/>
    </row>
    <row r="37" ht="15.75" customHeight="1">
      <c r="A37" s="262"/>
      <c r="B37" s="316" t="s">
        <v>203</v>
      </c>
      <c r="C37" s="318"/>
      <c r="D37" s="49"/>
      <c r="E37" s="49"/>
      <c r="F37" s="49"/>
      <c r="G37" s="49"/>
      <c r="H37" s="49"/>
      <c r="I37" s="53"/>
      <c r="J37" s="22"/>
      <c r="K37" s="22"/>
      <c r="L37" s="22"/>
      <c r="M37" s="22"/>
      <c r="N37" s="22"/>
      <c r="O37" s="22"/>
      <c r="P37" s="22"/>
      <c r="Q37" s="22"/>
      <c r="R37" s="22"/>
      <c r="S37" s="263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262"/>
      <c r="B38" s="310"/>
      <c r="C38" s="32"/>
      <c r="I38" s="29"/>
      <c r="J38" s="22"/>
      <c r="K38" s="22"/>
      <c r="L38" s="22"/>
      <c r="M38" s="22"/>
      <c r="N38" s="22"/>
      <c r="O38" s="22"/>
      <c r="P38" s="22"/>
      <c r="Q38" s="22"/>
      <c r="R38" s="22"/>
      <c r="S38" s="263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262"/>
      <c r="B39" s="310"/>
      <c r="C39" s="32"/>
      <c r="I39" s="29"/>
      <c r="J39" s="22"/>
      <c r="K39" s="22"/>
      <c r="L39" s="22"/>
      <c r="M39" s="22"/>
      <c r="N39" s="22"/>
      <c r="O39" s="22"/>
      <c r="P39" s="22"/>
      <c r="Q39" s="22"/>
      <c r="R39" s="22"/>
      <c r="S39" s="263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262"/>
      <c r="B40" s="310"/>
      <c r="C40" s="32"/>
      <c r="I40" s="29"/>
      <c r="J40" s="22"/>
      <c r="K40" s="22"/>
      <c r="L40" s="22"/>
      <c r="M40" s="22"/>
      <c r="N40" s="22"/>
      <c r="O40" s="22"/>
      <c r="P40" s="22"/>
      <c r="Q40" s="22"/>
      <c r="R40" s="22"/>
      <c r="S40" s="263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262"/>
      <c r="B41" s="315"/>
      <c r="C41" s="44"/>
      <c r="D41" s="41"/>
      <c r="E41" s="41"/>
      <c r="F41" s="41"/>
      <c r="G41" s="41"/>
      <c r="H41" s="41"/>
      <c r="I41" s="46"/>
      <c r="J41" s="22"/>
      <c r="K41" s="22"/>
      <c r="L41" s="22"/>
      <c r="M41" s="22"/>
      <c r="N41" s="22"/>
      <c r="O41" s="22"/>
      <c r="P41" s="22"/>
      <c r="Q41" s="22"/>
      <c r="R41" s="22"/>
      <c r="S41" s="263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262"/>
      <c r="B42" s="316" t="s">
        <v>208</v>
      </c>
      <c r="C42" s="317"/>
      <c r="D42" s="49"/>
      <c r="E42" s="49"/>
      <c r="F42" s="49"/>
      <c r="G42" s="49"/>
      <c r="H42" s="49"/>
      <c r="I42" s="53"/>
      <c r="J42" s="22"/>
      <c r="K42" s="22"/>
      <c r="L42" s="22"/>
      <c r="M42" s="22"/>
      <c r="N42" s="22"/>
      <c r="O42" s="22"/>
      <c r="P42" s="22"/>
      <c r="Q42" s="22"/>
      <c r="R42" s="22"/>
      <c r="S42" s="263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262"/>
      <c r="B43" s="310"/>
      <c r="C43" s="32"/>
      <c r="I43" s="29"/>
      <c r="J43" s="22"/>
      <c r="K43" s="22"/>
      <c r="L43" s="22"/>
      <c r="M43" s="22"/>
      <c r="N43" s="22"/>
      <c r="O43" s="22"/>
      <c r="P43" s="22"/>
      <c r="Q43" s="22"/>
      <c r="R43" s="22"/>
      <c r="S43" s="263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262"/>
      <c r="B44" s="310"/>
      <c r="C44" s="32"/>
      <c r="I44" s="29"/>
      <c r="J44" s="22"/>
      <c r="K44" s="22"/>
      <c r="L44" s="22"/>
      <c r="M44" s="22"/>
      <c r="N44" s="22"/>
      <c r="O44" s="22"/>
      <c r="P44" s="22"/>
      <c r="Q44" s="22"/>
      <c r="R44" s="22"/>
      <c r="S44" s="263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262"/>
      <c r="B45" s="310"/>
      <c r="C45" s="32"/>
      <c r="I45" s="29"/>
      <c r="J45" s="22"/>
      <c r="K45" s="22"/>
      <c r="L45" s="22"/>
      <c r="M45" s="22"/>
      <c r="N45" s="22"/>
      <c r="O45" s="22"/>
      <c r="P45" s="22"/>
      <c r="Q45" s="22"/>
      <c r="R45" s="22"/>
      <c r="S45" s="263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262"/>
      <c r="B46" s="315"/>
      <c r="C46" s="44"/>
      <c r="D46" s="41"/>
      <c r="E46" s="41"/>
      <c r="F46" s="41"/>
      <c r="G46" s="41"/>
      <c r="H46" s="41"/>
      <c r="I46" s="46"/>
      <c r="J46" s="22"/>
      <c r="K46" s="22"/>
      <c r="L46" s="22"/>
      <c r="M46" s="22"/>
      <c r="N46" s="22"/>
      <c r="O46" s="341"/>
      <c r="P46" s="22"/>
      <c r="Q46" s="22"/>
      <c r="R46" s="22"/>
      <c r="S46" s="263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262"/>
      <c r="B47" s="316" t="s">
        <v>211</v>
      </c>
      <c r="C47" s="317"/>
      <c r="D47" s="49"/>
      <c r="E47" s="49"/>
      <c r="F47" s="49"/>
      <c r="G47" s="49"/>
      <c r="H47" s="49"/>
      <c r="I47" s="53"/>
      <c r="J47" s="22"/>
      <c r="K47" s="22"/>
      <c r="L47" s="22"/>
      <c r="M47" s="22"/>
      <c r="N47" s="22"/>
      <c r="O47" s="22"/>
      <c r="P47" s="22"/>
      <c r="Q47" s="22"/>
      <c r="R47" s="22"/>
      <c r="S47" s="263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262"/>
      <c r="B48" s="310"/>
      <c r="C48" s="32"/>
      <c r="I48" s="29"/>
      <c r="J48" s="22"/>
      <c r="K48" s="22"/>
      <c r="L48" s="22"/>
      <c r="M48" s="22"/>
      <c r="N48" s="22"/>
      <c r="O48" s="22"/>
      <c r="P48" s="22"/>
      <c r="Q48" s="22"/>
      <c r="R48" s="22"/>
      <c r="S48" s="263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262"/>
      <c r="B49" s="310"/>
      <c r="C49" s="32"/>
      <c r="I49" s="29"/>
      <c r="J49" s="22"/>
      <c r="K49" s="22"/>
      <c r="L49" s="22"/>
      <c r="M49" s="22"/>
      <c r="N49" s="22"/>
      <c r="O49" s="22"/>
      <c r="P49" s="22"/>
      <c r="Q49" s="22"/>
      <c r="R49" s="22"/>
      <c r="S49" s="263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262"/>
      <c r="B50" s="310"/>
      <c r="C50" s="32"/>
      <c r="I50" s="29"/>
      <c r="J50" s="22"/>
      <c r="K50" s="22"/>
      <c r="L50" s="22"/>
      <c r="M50" s="22"/>
      <c r="N50" s="22"/>
      <c r="O50" s="22"/>
      <c r="P50" s="22"/>
      <c r="Q50" s="22"/>
      <c r="R50" s="22"/>
      <c r="S50" s="263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262"/>
      <c r="B51" s="315"/>
      <c r="C51" s="44"/>
      <c r="D51" s="41"/>
      <c r="E51" s="41"/>
      <c r="F51" s="41"/>
      <c r="G51" s="41"/>
      <c r="H51" s="41"/>
      <c r="I51" s="46"/>
      <c r="J51" s="22"/>
      <c r="K51" s="22"/>
      <c r="L51" s="22"/>
      <c r="M51" s="22"/>
      <c r="N51" s="22"/>
      <c r="O51" s="22"/>
      <c r="P51" s="22"/>
      <c r="Q51" s="22"/>
      <c r="R51" s="22"/>
      <c r="S51" s="263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262"/>
      <c r="B52" s="316" t="s">
        <v>213</v>
      </c>
      <c r="C52" s="318"/>
      <c r="D52" s="49"/>
      <c r="E52" s="49"/>
      <c r="F52" s="49"/>
      <c r="G52" s="49"/>
      <c r="H52" s="49"/>
      <c r="I52" s="53"/>
      <c r="J52" s="22"/>
      <c r="K52" s="22"/>
      <c r="L52" s="22"/>
      <c r="M52" s="22"/>
      <c r="N52" s="22"/>
      <c r="O52" s="22"/>
      <c r="P52" s="22"/>
      <c r="Q52" s="22"/>
      <c r="R52" s="22"/>
      <c r="S52" s="263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262"/>
      <c r="B53" s="310"/>
      <c r="C53" s="32"/>
      <c r="I53" s="29"/>
      <c r="J53" s="22"/>
      <c r="K53" s="22"/>
      <c r="L53" s="22"/>
      <c r="M53" s="22"/>
      <c r="N53" s="22"/>
      <c r="O53" s="22"/>
      <c r="P53" s="22"/>
      <c r="Q53" s="22"/>
      <c r="R53" s="22"/>
      <c r="S53" s="263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262"/>
      <c r="B54" s="310"/>
      <c r="C54" s="32"/>
      <c r="I54" s="29"/>
      <c r="J54" s="22"/>
      <c r="K54" s="22"/>
      <c r="L54" s="22"/>
      <c r="M54" s="22"/>
      <c r="N54" s="22"/>
      <c r="O54" s="22"/>
      <c r="P54" s="22"/>
      <c r="Q54" s="22"/>
      <c r="R54" s="22"/>
      <c r="S54" s="263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262"/>
      <c r="B55" s="310"/>
      <c r="C55" s="32"/>
      <c r="I55" s="29"/>
      <c r="J55" s="22"/>
      <c r="K55" s="22"/>
      <c r="L55" s="22"/>
      <c r="M55" s="22"/>
      <c r="N55" s="22"/>
      <c r="O55" s="22"/>
      <c r="P55" s="22"/>
      <c r="Q55" s="22"/>
      <c r="R55" s="22"/>
      <c r="S55" s="263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262"/>
      <c r="B56" s="315"/>
      <c r="C56" s="44"/>
      <c r="D56" s="41"/>
      <c r="E56" s="41"/>
      <c r="F56" s="41"/>
      <c r="G56" s="41"/>
      <c r="H56" s="41"/>
      <c r="I56" s="46"/>
      <c r="J56" s="22"/>
      <c r="K56" s="22"/>
      <c r="L56" s="22"/>
      <c r="M56" s="22"/>
      <c r="N56" s="22"/>
      <c r="O56" s="22"/>
      <c r="P56" s="22"/>
      <c r="Q56" s="22"/>
      <c r="R56" s="22"/>
      <c r="S56" s="263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262"/>
      <c r="B57" s="316" t="s">
        <v>216</v>
      </c>
      <c r="C57" s="318"/>
      <c r="D57" s="49"/>
      <c r="E57" s="49"/>
      <c r="F57" s="49"/>
      <c r="G57" s="49"/>
      <c r="H57" s="49"/>
      <c r="I57" s="53"/>
      <c r="J57" s="22"/>
      <c r="K57" s="22"/>
      <c r="L57" s="22"/>
      <c r="M57" s="22"/>
      <c r="N57" s="22"/>
      <c r="O57" s="22"/>
      <c r="P57" s="22"/>
      <c r="Q57" s="22"/>
      <c r="R57" s="22"/>
      <c r="S57" s="263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262"/>
      <c r="B58" s="310"/>
      <c r="C58" s="32"/>
      <c r="I58" s="29"/>
      <c r="J58" s="22"/>
      <c r="K58" s="22"/>
      <c r="L58" s="22"/>
      <c r="M58" s="22"/>
      <c r="N58" s="22"/>
      <c r="O58" s="22"/>
      <c r="P58" s="22"/>
      <c r="Q58" s="22"/>
      <c r="R58" s="22"/>
      <c r="S58" s="263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262"/>
      <c r="B59" s="310"/>
      <c r="C59" s="32"/>
      <c r="I59" s="29"/>
      <c r="J59" s="22"/>
      <c r="K59" s="22"/>
      <c r="L59" s="22"/>
      <c r="M59" s="22"/>
      <c r="N59" s="22"/>
      <c r="O59" s="22"/>
      <c r="P59" s="22"/>
      <c r="Q59" s="22"/>
      <c r="R59" s="22"/>
      <c r="S59" s="263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262"/>
      <c r="B60" s="310"/>
      <c r="C60" s="32"/>
      <c r="I60" s="29"/>
      <c r="J60" s="22"/>
      <c r="K60" s="22"/>
      <c r="L60" s="22"/>
      <c r="M60" s="22"/>
      <c r="N60" s="22"/>
      <c r="O60" s="22"/>
      <c r="P60" s="22"/>
      <c r="Q60" s="22"/>
      <c r="R60" s="22"/>
      <c r="S60" s="263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262"/>
      <c r="B61" s="315"/>
      <c r="C61" s="44"/>
      <c r="D61" s="41"/>
      <c r="E61" s="41"/>
      <c r="F61" s="41"/>
      <c r="G61" s="41"/>
      <c r="H61" s="41"/>
      <c r="I61" s="46"/>
      <c r="J61" s="22"/>
      <c r="K61" s="22"/>
      <c r="L61" s="22"/>
      <c r="M61" s="22"/>
      <c r="N61" s="22"/>
      <c r="O61" s="22"/>
      <c r="P61" s="22"/>
      <c r="Q61" s="22"/>
      <c r="R61" s="22"/>
      <c r="S61" s="263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262"/>
      <c r="B62" s="316" t="s">
        <v>222</v>
      </c>
      <c r="C62" s="317"/>
      <c r="D62" s="49"/>
      <c r="E62" s="49"/>
      <c r="F62" s="49"/>
      <c r="G62" s="49"/>
      <c r="H62" s="49"/>
      <c r="I62" s="53"/>
      <c r="J62" s="22"/>
      <c r="K62" s="22"/>
      <c r="L62" s="22"/>
      <c r="M62" s="22"/>
      <c r="N62" s="22"/>
      <c r="O62" s="22"/>
      <c r="P62" s="22"/>
      <c r="Q62" s="22"/>
      <c r="R62" s="22"/>
      <c r="S62" s="263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262"/>
      <c r="B63" s="310"/>
      <c r="C63" s="32"/>
      <c r="I63" s="29"/>
      <c r="J63" s="22"/>
      <c r="K63" s="22"/>
      <c r="L63" s="22"/>
      <c r="M63" s="22"/>
      <c r="N63" s="22"/>
      <c r="O63" s="22"/>
      <c r="P63" s="22"/>
      <c r="Q63" s="22"/>
      <c r="R63" s="22"/>
      <c r="S63" s="263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262"/>
      <c r="B64" s="310"/>
      <c r="C64" s="32"/>
      <c r="I64" s="29"/>
      <c r="J64" s="22"/>
      <c r="K64" s="22"/>
      <c r="L64" s="22"/>
      <c r="M64" s="22"/>
      <c r="N64" s="22"/>
      <c r="O64" s="22"/>
      <c r="P64" s="22"/>
      <c r="Q64" s="22"/>
      <c r="R64" s="22"/>
      <c r="S64" s="263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262"/>
      <c r="B65" s="310"/>
      <c r="C65" s="32"/>
      <c r="I65" s="29"/>
      <c r="J65" s="22"/>
      <c r="K65" s="22"/>
      <c r="L65" s="22"/>
      <c r="M65" s="22"/>
      <c r="N65" s="22"/>
      <c r="O65" s="22"/>
      <c r="P65" s="22"/>
      <c r="Q65" s="22"/>
      <c r="R65" s="22"/>
      <c r="S65" s="263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262"/>
      <c r="B66" s="315"/>
      <c r="C66" s="44"/>
      <c r="D66" s="41"/>
      <c r="E66" s="41"/>
      <c r="F66" s="41"/>
      <c r="G66" s="41"/>
      <c r="H66" s="41"/>
      <c r="I66" s="46"/>
      <c r="J66" s="22"/>
      <c r="K66" s="22"/>
      <c r="L66" s="22"/>
      <c r="M66" s="22"/>
      <c r="N66" s="22"/>
      <c r="O66" s="22"/>
      <c r="P66" s="22"/>
      <c r="Q66" s="22"/>
      <c r="R66" s="22"/>
      <c r="S66" s="263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262"/>
      <c r="B67" s="316" t="s">
        <v>225</v>
      </c>
      <c r="C67" s="318"/>
      <c r="D67" s="49"/>
      <c r="E67" s="49"/>
      <c r="F67" s="49"/>
      <c r="G67" s="49"/>
      <c r="H67" s="49"/>
      <c r="I67" s="53"/>
      <c r="J67" s="22"/>
      <c r="K67" s="22"/>
      <c r="L67" s="22"/>
      <c r="M67" s="22"/>
      <c r="N67" s="22"/>
      <c r="O67" s="22"/>
      <c r="P67" s="22"/>
      <c r="Q67" s="22"/>
      <c r="R67" s="22"/>
      <c r="S67" s="263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262"/>
      <c r="B68" s="310"/>
      <c r="C68" s="32"/>
      <c r="I68" s="29"/>
      <c r="J68" s="22"/>
      <c r="K68" s="22"/>
      <c r="L68" s="22"/>
      <c r="M68" s="22"/>
      <c r="N68" s="22"/>
      <c r="O68" s="22"/>
      <c r="P68" s="22"/>
      <c r="Q68" s="22"/>
      <c r="R68" s="22"/>
      <c r="S68" s="263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262"/>
      <c r="B69" s="310"/>
      <c r="C69" s="32"/>
      <c r="I69" s="29"/>
      <c r="J69" s="22"/>
      <c r="K69" s="22"/>
      <c r="L69" s="22"/>
      <c r="M69" s="22"/>
      <c r="N69" s="22"/>
      <c r="O69" s="22"/>
      <c r="P69" s="22"/>
      <c r="Q69" s="22"/>
      <c r="R69" s="22"/>
      <c r="S69" s="263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262"/>
      <c r="B70" s="310"/>
      <c r="C70" s="32"/>
      <c r="I70" s="29"/>
      <c r="J70" s="22"/>
      <c r="K70" s="22"/>
      <c r="L70" s="22"/>
      <c r="M70" s="22"/>
      <c r="N70" s="22"/>
      <c r="O70" s="22"/>
      <c r="P70" s="22"/>
      <c r="Q70" s="22"/>
      <c r="R70" s="22"/>
      <c r="S70" s="263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262"/>
      <c r="B71" s="315"/>
      <c r="C71" s="44"/>
      <c r="D71" s="41"/>
      <c r="E71" s="41"/>
      <c r="F71" s="41"/>
      <c r="G71" s="41"/>
      <c r="H71" s="41"/>
      <c r="I71" s="46"/>
      <c r="J71" s="22"/>
      <c r="K71" s="22"/>
      <c r="L71" s="22"/>
      <c r="M71" s="22"/>
      <c r="N71" s="22"/>
      <c r="O71" s="22"/>
      <c r="P71" s="22"/>
      <c r="Q71" s="22"/>
      <c r="R71" s="22"/>
      <c r="S71" s="263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262"/>
      <c r="B72" s="316" t="s">
        <v>229</v>
      </c>
      <c r="C72" s="318"/>
      <c r="D72" s="49"/>
      <c r="E72" s="49"/>
      <c r="F72" s="49"/>
      <c r="G72" s="49"/>
      <c r="H72" s="49"/>
      <c r="I72" s="53"/>
      <c r="J72" s="22"/>
      <c r="K72" s="22"/>
      <c r="L72" s="22"/>
      <c r="M72" s="22"/>
      <c r="N72" s="22"/>
      <c r="O72" s="22"/>
      <c r="P72" s="22"/>
      <c r="Q72" s="22"/>
      <c r="R72" s="22"/>
      <c r="S72" s="263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262"/>
      <c r="B73" s="310"/>
      <c r="C73" s="32"/>
      <c r="I73" s="29"/>
      <c r="J73" s="22"/>
      <c r="K73" s="22"/>
      <c r="L73" s="22"/>
      <c r="M73" s="22"/>
      <c r="N73" s="22"/>
      <c r="O73" s="22"/>
      <c r="P73" s="22"/>
      <c r="Q73" s="22"/>
      <c r="R73" s="22"/>
      <c r="S73" s="263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262"/>
      <c r="B74" s="310"/>
      <c r="C74" s="32"/>
      <c r="I74" s="29"/>
      <c r="J74" s="22"/>
      <c r="K74" s="22"/>
      <c r="L74" s="22"/>
      <c r="M74" s="22"/>
      <c r="N74" s="22"/>
      <c r="O74" s="22"/>
      <c r="P74" s="22"/>
      <c r="Q74" s="22"/>
      <c r="R74" s="22"/>
      <c r="S74" s="263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262"/>
      <c r="B75" s="310"/>
      <c r="C75" s="32"/>
      <c r="I75" s="29"/>
      <c r="J75" s="22"/>
      <c r="K75" s="22"/>
      <c r="L75" s="22"/>
      <c r="M75" s="22"/>
      <c r="N75" s="22"/>
      <c r="O75" s="22"/>
      <c r="P75" s="22"/>
      <c r="Q75" s="22"/>
      <c r="R75" s="22"/>
      <c r="S75" s="263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262"/>
      <c r="B76" s="315"/>
      <c r="C76" s="44"/>
      <c r="D76" s="41"/>
      <c r="E76" s="41"/>
      <c r="F76" s="41"/>
      <c r="G76" s="41"/>
      <c r="H76" s="41"/>
      <c r="I76" s="46"/>
      <c r="J76" s="22"/>
      <c r="K76" s="22"/>
      <c r="L76" s="22"/>
      <c r="M76" s="22"/>
      <c r="N76" s="22"/>
      <c r="O76" s="22"/>
      <c r="P76" s="22"/>
      <c r="Q76" s="22"/>
      <c r="R76" s="22"/>
      <c r="S76" s="263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262"/>
      <c r="B77" s="316" t="s">
        <v>230</v>
      </c>
      <c r="C77" s="318"/>
      <c r="D77" s="49"/>
      <c r="E77" s="49"/>
      <c r="F77" s="49"/>
      <c r="G77" s="49"/>
      <c r="H77" s="49"/>
      <c r="I77" s="53"/>
      <c r="J77" s="22"/>
      <c r="K77" s="22"/>
      <c r="L77" s="356"/>
      <c r="M77" s="22"/>
      <c r="N77" s="22"/>
      <c r="O77" s="22"/>
      <c r="P77" s="22"/>
      <c r="Q77" s="22"/>
      <c r="R77" s="22"/>
      <c r="S77" s="263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262"/>
      <c r="B78" s="310"/>
      <c r="C78" s="32"/>
      <c r="I78" s="29"/>
      <c r="J78" s="22"/>
      <c r="K78" s="22"/>
      <c r="L78" s="356"/>
      <c r="M78" s="22"/>
      <c r="N78" s="22"/>
      <c r="O78" s="22"/>
      <c r="P78" s="22"/>
      <c r="Q78" s="22"/>
      <c r="R78" s="22"/>
      <c r="S78" s="263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262"/>
      <c r="B79" s="310"/>
      <c r="C79" s="32"/>
      <c r="I79" s="29"/>
      <c r="J79" s="22"/>
      <c r="K79" s="22"/>
      <c r="L79" s="356"/>
      <c r="M79" s="22"/>
      <c r="N79" s="22"/>
      <c r="O79" s="22"/>
      <c r="P79" s="22"/>
      <c r="Q79" s="22"/>
      <c r="R79" s="22"/>
      <c r="S79" s="263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262"/>
      <c r="B80" s="310"/>
      <c r="C80" s="32"/>
      <c r="I80" s="29"/>
      <c r="J80" s="22"/>
      <c r="K80" s="22"/>
      <c r="L80" s="356"/>
      <c r="M80" s="22"/>
      <c r="N80" s="22"/>
      <c r="O80" s="22"/>
      <c r="P80" s="22"/>
      <c r="Q80" s="22"/>
      <c r="R80" s="22"/>
      <c r="S80" s="263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262"/>
      <c r="B81" s="357"/>
      <c r="C81" s="101"/>
      <c r="D81" s="98"/>
      <c r="E81" s="98"/>
      <c r="F81" s="98"/>
      <c r="G81" s="98"/>
      <c r="H81" s="98"/>
      <c r="I81" s="102"/>
      <c r="J81" s="22"/>
      <c r="K81" s="22"/>
      <c r="L81" s="356"/>
      <c r="M81" s="22"/>
      <c r="N81" s="22"/>
      <c r="O81" s="22"/>
      <c r="P81" s="22"/>
      <c r="Q81" s="22"/>
      <c r="R81" s="22"/>
      <c r="S81" s="263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262"/>
      <c r="B82" s="356"/>
      <c r="C82" s="22"/>
      <c r="D82" s="22"/>
      <c r="E82" s="22"/>
      <c r="F82" s="22"/>
      <c r="G82" s="22"/>
      <c r="H82" s="22"/>
      <c r="I82" s="22"/>
      <c r="J82" s="22"/>
      <c r="K82" s="22"/>
      <c r="L82" s="356"/>
      <c r="M82" s="22"/>
      <c r="N82" s="22"/>
      <c r="O82" s="22"/>
      <c r="P82" s="22"/>
      <c r="Q82" s="22"/>
      <c r="R82" s="22"/>
      <c r="S82" s="263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262"/>
      <c r="B83" s="356"/>
      <c r="C83" s="22"/>
      <c r="D83" s="22"/>
      <c r="E83" s="22"/>
      <c r="F83" s="22"/>
      <c r="G83" s="22"/>
      <c r="H83" s="22"/>
      <c r="I83" s="22"/>
      <c r="J83" s="22"/>
      <c r="K83" s="22"/>
      <c r="L83" s="356"/>
      <c r="M83" s="22"/>
      <c r="N83" s="22"/>
      <c r="O83" s="22"/>
      <c r="P83" s="22"/>
      <c r="Q83" s="22"/>
      <c r="R83" s="22"/>
      <c r="S83" s="263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262"/>
      <c r="B84" s="356"/>
      <c r="C84" s="22"/>
      <c r="D84" s="22"/>
      <c r="E84" s="22"/>
      <c r="F84" s="22"/>
      <c r="G84" s="22"/>
      <c r="H84" s="22"/>
      <c r="I84" s="22"/>
      <c r="J84" s="22"/>
      <c r="K84" s="22"/>
      <c r="L84" s="356"/>
      <c r="M84" s="22"/>
      <c r="N84" s="22"/>
      <c r="O84" s="22"/>
      <c r="P84" s="22"/>
      <c r="Q84" s="22"/>
      <c r="R84" s="22"/>
      <c r="S84" s="263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26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63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26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63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26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63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26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63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26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63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26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63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26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63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26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63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26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63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26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63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26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63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26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63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26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63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26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63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26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63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26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63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26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63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26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63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26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63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26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63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26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63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26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63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26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63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26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63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26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63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26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63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26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63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26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63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26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63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26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63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26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63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26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63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26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63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26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63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26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63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26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63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358"/>
      <c r="B121" s="359"/>
      <c r="C121" s="359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59"/>
      <c r="P121" s="359"/>
      <c r="Q121" s="359"/>
      <c r="R121" s="359"/>
      <c r="S121" s="360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9">
    <mergeCell ref="C9:F9"/>
    <mergeCell ref="I9:O9"/>
    <mergeCell ref="B10:B11"/>
    <mergeCell ref="C10:F11"/>
    <mergeCell ref="I10:O10"/>
    <mergeCell ref="I11:O11"/>
    <mergeCell ref="I12:O12"/>
    <mergeCell ref="C12:F12"/>
    <mergeCell ref="B14:F14"/>
    <mergeCell ref="H14:S14"/>
    <mergeCell ref="M18:O19"/>
    <mergeCell ref="P18:P20"/>
    <mergeCell ref="M20:O20"/>
    <mergeCell ref="B21:I21"/>
    <mergeCell ref="B15:F19"/>
    <mergeCell ref="B22:B26"/>
    <mergeCell ref="C22:I26"/>
    <mergeCell ref="B27:B31"/>
    <mergeCell ref="C27:I31"/>
    <mergeCell ref="B32:B36"/>
    <mergeCell ref="C32:I36"/>
    <mergeCell ref="B52:B56"/>
    <mergeCell ref="B57:B61"/>
    <mergeCell ref="B62:B66"/>
    <mergeCell ref="B67:B71"/>
    <mergeCell ref="B72:B76"/>
    <mergeCell ref="B77:B81"/>
    <mergeCell ref="C57:I61"/>
    <mergeCell ref="C62:I66"/>
    <mergeCell ref="C67:I71"/>
    <mergeCell ref="C72:I76"/>
    <mergeCell ref="C77:I81"/>
    <mergeCell ref="B37:B41"/>
    <mergeCell ref="C37:I41"/>
    <mergeCell ref="B42:B46"/>
    <mergeCell ref="C42:I46"/>
    <mergeCell ref="B47:B51"/>
    <mergeCell ref="C47:I51"/>
    <mergeCell ref="C52:I56"/>
  </mergeCells>
  <conditionalFormatting sqref="P18:P20">
    <cfRule type="cellIs" dxfId="8" priority="1" operator="lessThan">
      <formula>"51%"</formula>
    </cfRule>
  </conditionalFormatting>
  <conditionalFormatting sqref="P18:P20">
    <cfRule type="cellIs" dxfId="2" priority="2" operator="greaterThan">
      <formula>"75%"</formula>
    </cfRule>
  </conditionalFormatting>
  <conditionalFormatting sqref="P18:P20">
    <cfRule type="cellIs" dxfId="9" priority="3" operator="between">
      <formula>"51%"</formula>
      <formula>"75%"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5.0"/>
    <col customWidth="1" min="2" max="2" width="14.5"/>
    <col customWidth="1" min="5" max="5" width="12.25"/>
    <col customWidth="1" min="6" max="6" width="6.25"/>
    <col customWidth="1" min="7" max="7" width="25.88"/>
    <col customWidth="1" min="11" max="11" width="39.75"/>
  </cols>
  <sheetData>
    <row r="1" ht="15.75" customHeight="1">
      <c r="A1" s="271"/>
      <c r="B1" s="272"/>
      <c r="C1" s="272"/>
      <c r="D1" s="272"/>
      <c r="E1" s="272"/>
      <c r="F1" s="272"/>
      <c r="G1" s="272"/>
      <c r="H1" s="272"/>
      <c r="I1" s="272"/>
      <c r="J1" s="272"/>
      <c r="K1" s="273"/>
      <c r="L1" s="25"/>
      <c r="M1" s="25"/>
      <c r="N1" s="25"/>
      <c r="O1" s="25"/>
      <c r="P1" s="25"/>
    </row>
    <row r="2" ht="15.75" customHeight="1">
      <c r="A2" s="274"/>
      <c r="B2" s="275"/>
      <c r="C2" s="275"/>
      <c r="D2" s="275"/>
      <c r="E2" s="275"/>
      <c r="F2" s="275"/>
      <c r="G2" s="275"/>
      <c r="H2" s="275"/>
      <c r="I2" s="275"/>
      <c r="J2" s="275"/>
      <c r="K2" s="277"/>
      <c r="L2" s="25"/>
      <c r="M2" s="25"/>
      <c r="N2" s="25"/>
      <c r="O2" s="25"/>
      <c r="P2" s="25"/>
    </row>
    <row r="3" ht="15.75" customHeight="1">
      <c r="A3" s="274"/>
      <c r="B3" s="275"/>
      <c r="C3" s="275"/>
      <c r="D3" s="275"/>
      <c r="E3" s="275"/>
      <c r="F3" s="275"/>
      <c r="G3" s="275"/>
      <c r="H3" s="275"/>
      <c r="I3" s="275"/>
      <c r="J3" s="275"/>
      <c r="K3" s="277"/>
      <c r="L3" s="25"/>
      <c r="M3" s="25"/>
      <c r="N3" s="25"/>
      <c r="O3" s="25"/>
      <c r="P3" s="25"/>
    </row>
    <row r="4" ht="15.75" customHeight="1">
      <c r="A4" s="274"/>
      <c r="B4" s="275"/>
      <c r="C4" s="275"/>
      <c r="D4" s="275"/>
      <c r="E4" s="275"/>
      <c r="F4" s="275"/>
      <c r="G4" s="275"/>
      <c r="H4" s="275"/>
      <c r="I4" s="275"/>
      <c r="J4" s="275"/>
      <c r="K4" s="277"/>
      <c r="L4" s="25"/>
      <c r="M4" s="25"/>
      <c r="N4" s="25"/>
      <c r="O4" s="25"/>
      <c r="P4" s="25"/>
    </row>
    <row r="5" ht="15.75" customHeight="1">
      <c r="A5" s="274"/>
      <c r="B5" s="275"/>
      <c r="C5" s="275"/>
      <c r="D5" s="275"/>
      <c r="E5" s="275"/>
      <c r="F5" s="275"/>
      <c r="G5" s="275"/>
      <c r="H5" s="275"/>
      <c r="I5" s="275"/>
      <c r="J5" s="275"/>
      <c r="K5" s="277"/>
      <c r="L5" s="25"/>
      <c r="M5" s="25"/>
      <c r="N5" s="25"/>
      <c r="O5" s="25"/>
      <c r="P5" s="25"/>
    </row>
    <row r="6" ht="15.75" customHeight="1">
      <c r="A6" s="274"/>
      <c r="B6" s="275"/>
      <c r="C6" s="275"/>
      <c r="D6" s="275"/>
      <c r="E6" s="275"/>
      <c r="F6" s="275"/>
      <c r="G6" s="275"/>
      <c r="H6" s="275"/>
      <c r="I6" s="275"/>
      <c r="J6" s="275"/>
      <c r="K6" s="277"/>
      <c r="L6" s="25"/>
      <c r="M6" s="25"/>
      <c r="N6" s="25"/>
      <c r="O6" s="25"/>
      <c r="P6" s="25"/>
    </row>
    <row r="7" ht="15.75" customHeight="1">
      <c r="A7" s="271"/>
      <c r="B7" s="49"/>
      <c r="C7" s="49"/>
      <c r="D7" s="49"/>
      <c r="E7" s="49"/>
      <c r="F7" s="49"/>
      <c r="G7" s="49"/>
      <c r="H7" s="49"/>
      <c r="I7" s="49"/>
      <c r="J7" s="49"/>
      <c r="K7" s="50"/>
      <c r="L7" s="25"/>
      <c r="M7" s="25"/>
      <c r="N7" s="25"/>
      <c r="O7" s="25"/>
      <c r="P7" s="25"/>
    </row>
    <row r="8" ht="24.0" customHeight="1">
      <c r="A8" s="59" t="s">
        <v>27</v>
      </c>
      <c r="B8" s="61" t="str">
        <f>'Identificação do projeto'!C9</f>
        <v>Coronel BM Moisés Magalhães de Sousa</v>
      </c>
      <c r="C8" s="62"/>
      <c r="D8" s="62"/>
      <c r="E8" s="63"/>
      <c r="F8" s="56"/>
      <c r="G8" s="59" t="s">
        <v>32</v>
      </c>
      <c r="H8" s="61" t="str">
        <f>'Identificação do projeto'!J9</f>
        <v>Aperfeiçoamento Tecnológico do CBMMG</v>
      </c>
      <c r="I8" s="62"/>
      <c r="J8" s="62"/>
      <c r="K8" s="63"/>
      <c r="L8" s="150"/>
      <c r="M8" s="150"/>
      <c r="N8" s="150"/>
      <c r="O8" s="150"/>
      <c r="P8" s="150"/>
      <c r="Q8" s="294"/>
      <c r="R8" s="294"/>
      <c r="S8" s="294"/>
      <c r="T8" s="294"/>
      <c r="U8" s="294"/>
      <c r="V8" s="294"/>
      <c r="W8" s="294"/>
      <c r="X8" s="294"/>
    </row>
    <row r="9" ht="24.0" customHeight="1">
      <c r="A9" s="59" t="s">
        <v>37</v>
      </c>
      <c r="B9" s="64" t="str">
        <f>'Identificação do projeto'!C10</f>
        <v>Inovação e Transformação Digital</v>
      </c>
      <c r="C9" s="65"/>
      <c r="D9" s="65"/>
      <c r="E9" s="66"/>
      <c r="F9" s="56"/>
      <c r="G9" s="67" t="s">
        <v>40</v>
      </c>
      <c r="H9" s="61" t="str">
        <f>'Identificação do projeto'!J10</f>
        <v>Modernização dos Sistema de Informação do CBMMG - GT's Integrados</v>
      </c>
      <c r="I9" s="62"/>
      <c r="J9" s="62"/>
      <c r="K9" s="63"/>
      <c r="L9" s="150"/>
      <c r="M9" s="150"/>
      <c r="N9" s="150"/>
      <c r="O9" s="150"/>
      <c r="P9" s="150"/>
      <c r="Q9" s="294"/>
      <c r="R9" s="294"/>
      <c r="S9" s="294"/>
      <c r="T9" s="294"/>
      <c r="U9" s="294"/>
      <c r="V9" s="294"/>
      <c r="W9" s="294"/>
      <c r="X9" s="294"/>
    </row>
    <row r="10" ht="24.0" customHeight="1">
      <c r="B10" s="73"/>
      <c r="C10" s="74"/>
      <c r="D10" s="74"/>
      <c r="E10" s="76"/>
      <c r="F10" s="56"/>
      <c r="G10" s="77" t="s">
        <v>46</v>
      </c>
      <c r="H10" s="61" t="str">
        <f>'Identificação do projeto'!J11</f>
        <v>Base Integrada de Segurança Pública - BISP</v>
      </c>
      <c r="I10" s="62"/>
      <c r="J10" s="62"/>
      <c r="K10" s="63"/>
      <c r="L10" s="150"/>
      <c r="M10" s="150"/>
      <c r="N10" s="150"/>
      <c r="O10" s="150"/>
      <c r="P10" s="150"/>
      <c r="Q10" s="294"/>
      <c r="R10" s="294"/>
      <c r="S10" s="294"/>
      <c r="T10" s="294"/>
      <c r="U10" s="294"/>
      <c r="V10" s="294"/>
      <c r="W10" s="294"/>
      <c r="X10" s="294"/>
    </row>
    <row r="11" ht="24.0" customHeight="1">
      <c r="A11" s="59" t="s">
        <v>49</v>
      </c>
      <c r="B11" s="82" t="str">
        <f>'Identificação do projeto'!C12</f>
        <v>Coronel BM Luiz Frederico Barreto Pascoal</v>
      </c>
      <c r="C11" s="84"/>
      <c r="D11" s="84"/>
      <c r="E11" s="85"/>
      <c r="F11" s="56"/>
      <c r="G11" s="67" t="s">
        <v>53</v>
      </c>
      <c r="H11" s="61" t="str">
        <f>'Identificação do projeto'!J12</f>
        <v>Tenente-coronel BM Paulo Afonso Montezano Crispim</v>
      </c>
      <c r="I11" s="62"/>
      <c r="J11" s="62"/>
      <c r="K11" s="63"/>
      <c r="L11" s="150"/>
      <c r="M11" s="150"/>
      <c r="N11" s="150"/>
      <c r="O11" s="150"/>
      <c r="P11" s="150"/>
      <c r="Q11" s="294"/>
      <c r="R11" s="294"/>
      <c r="S11" s="294"/>
      <c r="T11" s="294"/>
      <c r="U11" s="294"/>
      <c r="V11" s="294"/>
      <c r="W11" s="294"/>
      <c r="X11" s="294"/>
    </row>
    <row r="12" ht="9.0" customHeight="1">
      <c r="A12" s="229"/>
      <c r="B12" s="173"/>
      <c r="C12" s="173"/>
      <c r="D12" s="173"/>
      <c r="E12" s="173"/>
      <c r="F12" s="173"/>
      <c r="G12" s="173"/>
      <c r="H12" s="173"/>
      <c r="I12" s="173"/>
      <c r="J12" s="173"/>
      <c r="K12" s="226"/>
      <c r="L12" s="25"/>
      <c r="M12" s="25"/>
      <c r="N12" s="25"/>
      <c r="O12" s="25"/>
      <c r="P12" s="25"/>
    </row>
    <row r="13" ht="15.75" customHeight="1">
      <c r="A13" s="305" t="s">
        <v>193</v>
      </c>
      <c r="B13" s="69"/>
      <c r="C13" s="69"/>
      <c r="D13" s="69"/>
      <c r="E13" s="69"/>
      <c r="F13" s="69"/>
      <c r="G13" s="69"/>
      <c r="H13" s="69"/>
      <c r="I13" s="69"/>
      <c r="J13" s="69"/>
      <c r="K13" s="70"/>
      <c r="L13" s="25"/>
      <c r="M13" s="25"/>
      <c r="N13" s="25"/>
      <c r="O13" s="25"/>
      <c r="P13" s="25"/>
    </row>
    <row r="14" ht="15.75" customHeight="1">
      <c r="A14" s="308" t="str">
        <f>'Identificação do projeto'!A16</f>
        <v>SITUAÇÃO ATUAL
A Base Integrada de Segurança Pública (BISP) é o data lake corporativo dos sistemas das Forças de Segurança Pública (SISP), operado pela SEJUSP por meio da PRODEMGE. O CBMMG já possui integrados à BISP os dados do CAD, do CAD ESCALA (ainda utilizado pela AAS), do REDS e do Módulo de Licenciamento do Infoscip. O Módulo de Fiscalização do Infoscip foi integrado na Sprint 56 (entrega em 07/11/2025), com criação das views para a DAT. A etapa seguinte — inclusão dos dados de Recursos Humanos (SIGP), abrangendo os 17 universos de RH — encontra-se paralisada por depender da aquisição de ferramenta de terceiros (IBM "DVM") capaz de ler os dados diretamente do Mainframe, sem importação via FTP, com previsão de aquisição para março/2026 e possível custo a ser rateado ao CBMMG.
STAKEHOLDERS
Internos: SDTS, DAT, DRH, CINSP, EMBM/2 e AAS. Externos: SEJUSP (Observatório / Superintendência de Integração da Segurança Pública), PRODEMGE, PMMG e PCMG.
JUSTIFICATIVA
A consolidação dos dados do CBMMG em ambiente corporativo e seguro viabiliza o uso de inteligência de dados (painéis, indicadores e relatórios) e a tomada de decisão baseada em evidências. A integração do Infoscip Fiscalização é condição indispensável para a manutenção da série histórica do ISCIP, cujo parâmetro "F" passa a ser obtido exclusivamente desse módulo (antes oriundo do REDS). A integração dos dados de RH proporcionará salto qualitativo na gestão de pessoal (dimensionamento de efetivo, saúde ocupacional, controle de licenças e análises preditivas de disponibilidade). O acesso à BISP também permite ao CBMMG desenvolver ferramentas secundárias — como os painéis de monitoramento utilizados no período de fortes chuvas em Juiz de Fora —, agregando eficiência, economicidade e transparência ao serviço prestado à sociedade mineira.</v>
      </c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25"/>
      <c r="M14" s="25"/>
      <c r="N14" s="25"/>
      <c r="O14" s="25"/>
      <c r="P14" s="25"/>
    </row>
    <row r="15" ht="15.75" customHeight="1">
      <c r="A15" s="32"/>
      <c r="K15" s="17"/>
      <c r="L15" s="25"/>
      <c r="M15" s="25"/>
      <c r="N15" s="25"/>
      <c r="O15" s="25"/>
      <c r="P15" s="25"/>
    </row>
    <row r="16" ht="129.0" customHeight="1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6"/>
      <c r="L16" s="25"/>
      <c r="M16" s="25"/>
      <c r="N16" s="25"/>
      <c r="O16" s="25"/>
      <c r="P16" s="25"/>
    </row>
    <row r="17" ht="15.75" customHeight="1">
      <c r="A17" s="305" t="s">
        <v>195</v>
      </c>
      <c r="B17" s="69"/>
      <c r="C17" s="69"/>
      <c r="D17" s="69"/>
      <c r="E17" s="69"/>
      <c r="F17" s="69"/>
      <c r="G17" s="69"/>
      <c r="H17" s="69"/>
      <c r="I17" s="69"/>
      <c r="J17" s="69"/>
      <c r="K17" s="70"/>
      <c r="L17" s="25"/>
      <c r="M17" s="25"/>
      <c r="N17" s="25"/>
      <c r="O17" s="25"/>
      <c r="P17" s="25"/>
    </row>
    <row r="18" ht="15.75" customHeight="1">
      <c r="A18" s="313" t="str">
        <f>'Entregas e custos previstos'!B16</f>
        <v>Principal Entrega</v>
      </c>
      <c r="B18" s="69"/>
      <c r="C18" s="69"/>
      <c r="D18" s="69"/>
      <c r="E18" s="69"/>
      <c r="F18" s="69"/>
      <c r="G18" s="69"/>
      <c r="H18" s="69"/>
      <c r="I18" s="69"/>
      <c r="J18" s="69"/>
      <c r="K18" s="70"/>
      <c r="L18" s="25"/>
      <c r="M18" s="25"/>
      <c r="N18" s="25"/>
      <c r="O18" s="25"/>
      <c r="P18" s="25"/>
    </row>
    <row r="19" ht="15.75" customHeight="1">
      <c r="A19" s="313" t="str">
        <f>'Entregas e custos previstos'!B17</f>
        <v>Base Integrada de Segurança Pública (BISP) com os dados estratégicos do CBMMG integrados e disponíveis para inteligência de dados — com destaque para a integração dos dados de Recursos Humanos (SIGP), 17 universos, e respectivas views.</v>
      </c>
      <c r="B19" s="69"/>
      <c r="C19" s="69"/>
      <c r="D19" s="69"/>
      <c r="E19" s="69"/>
      <c r="F19" s="69"/>
      <c r="G19" s="69"/>
      <c r="H19" s="69"/>
      <c r="I19" s="69"/>
      <c r="J19" s="69"/>
      <c r="K19" s="70"/>
      <c r="L19" s="25"/>
      <c r="M19" s="25"/>
      <c r="N19" s="25"/>
      <c r="O19" s="25"/>
      <c r="P19" s="25"/>
    </row>
    <row r="20" ht="15.75" customHeight="1">
      <c r="A20" s="313" t="str">
        <f>'Entregas e custos previstos'!B18</f>
        <v>Entrega(s) complementar(es)</v>
      </c>
      <c r="B20" s="69"/>
      <c r="C20" s="69"/>
      <c r="D20" s="69"/>
      <c r="E20" s="69"/>
      <c r="F20" s="69"/>
      <c r="G20" s="69"/>
      <c r="H20" s="69"/>
      <c r="I20" s="69"/>
      <c r="J20" s="69"/>
      <c r="K20" s="70"/>
      <c r="L20" s="25"/>
      <c r="M20" s="25"/>
      <c r="N20" s="25"/>
      <c r="O20" s="25"/>
      <c r="P20" s="25"/>
    </row>
    <row r="21" ht="15.75" customHeight="1">
      <c r="A21" s="313" t="str">
        <f>'Entregas e custos previstos'!B19</f>
        <v>Módulo de Fiscalização do Infoscip integrado à BISP, com views para a DAT e alimentação do parâmetro "F" do ISCIP (concluído).</v>
      </c>
      <c r="B21" s="69"/>
      <c r="C21" s="69"/>
      <c r="D21" s="69"/>
      <c r="E21" s="69"/>
      <c r="F21" s="69"/>
      <c r="G21" s="69"/>
      <c r="H21" s="69"/>
      <c r="I21" s="69"/>
      <c r="J21" s="69"/>
      <c r="K21" s="70"/>
      <c r="L21" s="25"/>
      <c r="M21" s="25"/>
      <c r="N21" s="25"/>
      <c r="O21" s="25"/>
      <c r="P21" s="25"/>
    </row>
    <row r="22" ht="15.75" customHeight="1">
      <c r="A22" s="313" t="str">
        <f>'Entregas e custos previstos'!B20</f>
        <v>Integração dos dados de RH (SIGP) viabilizada por meio da ferramenta DVM (leitura direta do Mainframe).</v>
      </c>
      <c r="B22" s="69"/>
      <c r="C22" s="69"/>
      <c r="D22" s="69"/>
      <c r="E22" s="69"/>
      <c r="F22" s="69"/>
      <c r="G22" s="69"/>
      <c r="H22" s="69"/>
      <c r="I22" s="69"/>
      <c r="J22" s="69"/>
      <c r="K22" s="70"/>
      <c r="L22" s="25"/>
      <c r="M22" s="25"/>
      <c r="N22" s="25"/>
      <c r="O22" s="25"/>
      <c r="P22" s="25"/>
    </row>
    <row r="23" ht="15.75" customHeight="1">
      <c r="A23" s="313" t="str">
        <f>'Entregas e custos previstos'!B21</f>
        <v>Acessos técnicos à BISP concedidos à equipe do CBMMG (certificados digitais e ferramentas de consulta).</v>
      </c>
      <c r="B23" s="69"/>
      <c r="C23" s="69"/>
      <c r="D23" s="69"/>
      <c r="E23" s="69"/>
      <c r="F23" s="69"/>
      <c r="G23" s="69"/>
      <c r="H23" s="69"/>
      <c r="I23" s="69"/>
      <c r="J23" s="69"/>
      <c r="K23" s="70"/>
      <c r="L23" s="25"/>
      <c r="M23" s="25"/>
      <c r="N23" s="25"/>
      <c r="O23" s="25"/>
      <c r="P23" s="25"/>
    </row>
    <row r="24" ht="15.75" customHeight="1">
      <c r="A24" s="313" t="str">
        <f>'Entregas e custos previstos'!B22</f>
        <v>Painéis de monitoramento, indicadores e relatórios gerenciais a partir dos dados da BISP.</v>
      </c>
      <c r="B24" s="69"/>
      <c r="C24" s="69"/>
      <c r="D24" s="69"/>
      <c r="E24" s="69"/>
      <c r="F24" s="69"/>
      <c r="G24" s="69"/>
      <c r="H24" s="69"/>
      <c r="I24" s="69"/>
      <c r="J24" s="69"/>
      <c r="K24" s="70"/>
      <c r="L24" s="25"/>
      <c r="M24" s="25"/>
      <c r="N24" s="25"/>
      <c r="O24" s="25"/>
      <c r="P24" s="25"/>
    </row>
    <row r="25" ht="15.75" customHeight="1">
      <c r="A25" s="313" t="str">
        <f>'Entregas e custos previstos'!B23</f>
        <v>Manutenção da série histórica do ISCIP.</v>
      </c>
      <c r="B25" s="69"/>
      <c r="C25" s="69"/>
      <c r="D25" s="69"/>
      <c r="E25" s="69"/>
      <c r="F25" s="69"/>
      <c r="G25" s="69"/>
      <c r="H25" s="69"/>
      <c r="I25" s="69"/>
      <c r="J25" s="69"/>
      <c r="K25" s="70"/>
      <c r="L25" s="25"/>
      <c r="M25" s="25"/>
      <c r="N25" s="25"/>
      <c r="O25" s="25"/>
      <c r="P25" s="25"/>
    </row>
    <row r="26" ht="15.75" customHeight="1">
      <c r="A26" s="313" t="str">
        <f>'Entregas e custos previstos'!B24</f>
        <v>Inclusão de campo/label de data da última atualização dos dados.</v>
      </c>
      <c r="B26" s="69"/>
      <c r="C26" s="69"/>
      <c r="D26" s="69"/>
      <c r="E26" s="69"/>
      <c r="F26" s="69"/>
      <c r="G26" s="69"/>
      <c r="H26" s="69"/>
      <c r="I26" s="69"/>
      <c r="J26" s="69"/>
      <c r="K26" s="70"/>
      <c r="L26" s="25"/>
      <c r="M26" s="25"/>
      <c r="N26" s="25"/>
      <c r="O26" s="25"/>
      <c r="P26" s="25"/>
    </row>
    <row r="27" ht="15.75" customHeight="1">
      <c r="A27" s="313" t="str">
        <f>'Entregas e custos previstos'!B25</f>
        <v/>
      </c>
      <c r="B27" s="69"/>
      <c r="C27" s="69"/>
      <c r="D27" s="69"/>
      <c r="E27" s="69"/>
      <c r="F27" s="69"/>
      <c r="G27" s="69"/>
      <c r="H27" s="69"/>
      <c r="I27" s="69"/>
      <c r="J27" s="69"/>
      <c r="K27" s="70"/>
      <c r="L27" s="25"/>
      <c r="M27" s="25"/>
      <c r="N27" s="25"/>
      <c r="O27" s="25"/>
      <c r="P27" s="25"/>
    </row>
    <row r="28" ht="15.75" customHeight="1">
      <c r="A28" s="313" t="str">
        <f>'Entregas e custos previstos'!B26</f>
        <v/>
      </c>
      <c r="B28" s="69"/>
      <c r="C28" s="69"/>
      <c r="D28" s="69"/>
      <c r="E28" s="69"/>
      <c r="F28" s="69"/>
      <c r="G28" s="69"/>
      <c r="H28" s="69"/>
      <c r="I28" s="69"/>
      <c r="J28" s="69"/>
      <c r="K28" s="70"/>
      <c r="L28" s="25"/>
      <c r="M28" s="25"/>
      <c r="N28" s="25"/>
      <c r="O28" s="25"/>
      <c r="P28" s="25"/>
    </row>
    <row r="29" ht="15.75" customHeight="1">
      <c r="A29" s="319" t="s">
        <v>199</v>
      </c>
      <c r="B29" s="69"/>
      <c r="C29" s="69"/>
      <c r="D29" s="69"/>
      <c r="E29" s="69"/>
      <c r="F29" s="69"/>
      <c r="G29" s="69"/>
      <c r="H29" s="69"/>
      <c r="I29" s="69"/>
      <c r="J29" s="69"/>
      <c r="K29" s="70"/>
      <c r="L29" s="25"/>
      <c r="M29" s="25"/>
      <c r="N29" s="25"/>
      <c r="O29" s="25"/>
      <c r="P29" s="25"/>
    </row>
    <row r="30" ht="15.75" customHeight="1">
      <c r="A30" s="320" t="s">
        <v>200</v>
      </c>
      <c r="B30" s="65"/>
      <c r="C30" s="65"/>
      <c r="D30" s="65"/>
      <c r="E30" s="65"/>
      <c r="F30" s="65"/>
      <c r="G30" s="65"/>
      <c r="H30" s="65"/>
      <c r="I30" s="65"/>
      <c r="J30" s="65"/>
      <c r="K30" s="66"/>
      <c r="L30" s="25"/>
      <c r="M30" s="25"/>
      <c r="N30" s="25"/>
      <c r="O30" s="25"/>
      <c r="P30" s="25"/>
    </row>
    <row r="31" ht="30.0" customHeight="1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6"/>
      <c r="L31" s="25"/>
      <c r="M31" s="25"/>
      <c r="N31" s="25"/>
      <c r="O31" s="25"/>
      <c r="P31" s="25"/>
    </row>
    <row r="32" ht="8.25" customHeight="1">
      <c r="A32" s="321"/>
      <c r="B32" s="322"/>
      <c r="C32" s="323"/>
      <c r="D32" s="323"/>
      <c r="E32" s="323"/>
      <c r="F32" s="323"/>
      <c r="G32" s="323"/>
      <c r="H32" s="323"/>
      <c r="I32" s="323"/>
      <c r="J32" s="323"/>
      <c r="K32" s="324"/>
      <c r="L32" s="25"/>
      <c r="M32" s="25"/>
      <c r="N32" s="25"/>
      <c r="O32" s="25"/>
      <c r="P32" s="25"/>
    </row>
    <row r="33" ht="15.75" customHeight="1">
      <c r="A33" s="319" t="s">
        <v>201</v>
      </c>
      <c r="B33" s="69"/>
      <c r="C33" s="69"/>
      <c r="D33" s="69"/>
      <c r="E33" s="69"/>
      <c r="F33" s="69"/>
      <c r="G33" s="69"/>
      <c r="H33" s="69"/>
      <c r="I33" s="69"/>
      <c r="J33" s="69"/>
      <c r="K33" s="70"/>
      <c r="L33" s="25"/>
      <c r="M33" s="25"/>
      <c r="N33" s="25"/>
      <c r="O33" s="25"/>
      <c r="P33" s="25"/>
    </row>
    <row r="34" ht="15.75" customHeight="1">
      <c r="A34" s="325"/>
      <c r="B34" s="326" t="s">
        <v>202</v>
      </c>
      <c r="C34" s="65"/>
      <c r="D34" s="65"/>
      <c r="E34" s="65"/>
      <c r="F34" s="65"/>
      <c r="G34" s="65"/>
      <c r="H34" s="65"/>
      <c r="I34" s="65"/>
      <c r="J34" s="65"/>
      <c r="K34" s="328"/>
      <c r="L34" s="25"/>
      <c r="M34" s="25"/>
      <c r="N34" s="25"/>
      <c r="O34" s="25"/>
      <c r="P34" s="25"/>
    </row>
    <row r="35" ht="15.75" customHeight="1">
      <c r="A35" s="329"/>
      <c r="B35" s="330"/>
      <c r="K35" s="331"/>
      <c r="L35" s="25"/>
      <c r="M35" s="25"/>
      <c r="N35" s="25"/>
      <c r="O35" s="25"/>
      <c r="P35" s="25"/>
    </row>
    <row r="36" ht="15.75" customHeight="1">
      <c r="A36" s="332"/>
      <c r="B36" s="333"/>
      <c r="C36" s="74"/>
      <c r="D36" s="74"/>
      <c r="E36" s="74"/>
      <c r="F36" s="74"/>
      <c r="G36" s="74"/>
      <c r="H36" s="74"/>
      <c r="I36" s="74"/>
      <c r="J36" s="74"/>
      <c r="K36" s="113"/>
      <c r="L36" s="25"/>
      <c r="M36" s="25"/>
      <c r="N36" s="25"/>
      <c r="O36" s="25"/>
      <c r="P36" s="25"/>
    </row>
    <row r="37" ht="8.25" customHeight="1">
      <c r="A37" s="334"/>
      <c r="B37" s="323"/>
      <c r="C37" s="323"/>
      <c r="D37" s="323"/>
      <c r="E37" s="323"/>
      <c r="F37" s="323"/>
      <c r="G37" s="323"/>
      <c r="H37" s="323"/>
      <c r="I37" s="323"/>
      <c r="J37" s="323"/>
      <c r="K37" s="324"/>
      <c r="L37" s="25"/>
      <c r="M37" s="25"/>
      <c r="N37" s="25"/>
      <c r="O37" s="25"/>
      <c r="P37" s="25"/>
    </row>
    <row r="38" ht="15.75" customHeight="1">
      <c r="A38" s="335" t="s">
        <v>204</v>
      </c>
      <c r="B38" s="62"/>
      <c r="C38" s="62"/>
      <c r="D38" s="62"/>
      <c r="E38" s="62"/>
      <c r="F38" s="62"/>
      <c r="G38" s="62"/>
      <c r="H38" s="62"/>
      <c r="I38" s="62"/>
      <c r="J38" s="62"/>
      <c r="K38" s="63"/>
      <c r="L38" s="25"/>
      <c r="M38" s="25"/>
      <c r="N38" s="25"/>
      <c r="O38" s="25"/>
      <c r="P38" s="25"/>
    </row>
    <row r="39" ht="15.75" customHeight="1">
      <c r="A39" s="319" t="s">
        <v>205</v>
      </c>
      <c r="B39" s="69"/>
      <c r="C39" s="69"/>
      <c r="D39" s="69"/>
      <c r="E39" s="69"/>
      <c r="F39" s="69"/>
      <c r="G39" s="69"/>
      <c r="H39" s="69"/>
      <c r="I39" s="69"/>
      <c r="J39" s="69"/>
      <c r="K39" s="70"/>
      <c r="L39" s="25"/>
      <c r="M39" s="25"/>
      <c r="N39" s="25"/>
      <c r="O39" s="25"/>
      <c r="P39" s="25"/>
    </row>
    <row r="40" ht="15.75" customHeight="1">
      <c r="A40" s="319" t="s">
        <v>206</v>
      </c>
      <c r="B40" s="69"/>
      <c r="C40" s="120"/>
      <c r="D40" s="336" t="str">
        <f>'Entregas e custos previstos'!B17</f>
        <v>Base Integrada de Segurança Pública (BISP) com os dados estratégicos do CBMMG integrados e disponíveis para inteligência de dados — com destaque para a integração dos dados de Recursos Humanos (SIGP), 17 universos, e respectivas views.</v>
      </c>
      <c r="E40" s="69"/>
      <c r="F40" s="69"/>
      <c r="G40" s="69"/>
      <c r="H40" s="69"/>
      <c r="I40" s="69"/>
      <c r="J40" s="69"/>
      <c r="K40" s="70"/>
      <c r="L40" s="25"/>
      <c r="M40" s="25"/>
      <c r="N40" s="25"/>
      <c r="O40" s="25"/>
      <c r="P40" s="25"/>
    </row>
    <row r="41" ht="15.75" customHeight="1">
      <c r="A41" s="337" t="s">
        <v>207</v>
      </c>
      <c r="B41" s="69"/>
      <c r="C41" s="120"/>
      <c r="D41" s="336"/>
      <c r="E41" s="69"/>
      <c r="F41" s="69"/>
      <c r="G41" s="69"/>
      <c r="H41" s="69"/>
      <c r="I41" s="69"/>
      <c r="J41" s="69"/>
      <c r="K41" s="70"/>
      <c r="L41" s="25"/>
      <c r="M41" s="25"/>
      <c r="N41" s="25"/>
      <c r="O41" s="25"/>
      <c r="P41" s="25"/>
    </row>
    <row r="42" ht="8.25" customHeight="1">
      <c r="A42" s="334"/>
      <c r="B42" s="323"/>
      <c r="C42" s="323"/>
      <c r="D42" s="323"/>
      <c r="E42" s="323"/>
      <c r="F42" s="323"/>
      <c r="G42" s="323"/>
      <c r="H42" s="323"/>
      <c r="I42" s="323"/>
      <c r="J42" s="323"/>
      <c r="K42" s="324"/>
      <c r="L42" s="25"/>
      <c r="M42" s="25"/>
      <c r="N42" s="25"/>
      <c r="O42" s="25"/>
      <c r="P42" s="25"/>
    </row>
    <row r="43" ht="15.75" customHeight="1">
      <c r="A43" s="319" t="s">
        <v>209</v>
      </c>
      <c r="B43" s="69"/>
      <c r="C43" s="69"/>
      <c r="D43" s="69"/>
      <c r="E43" s="69"/>
      <c r="F43" s="69"/>
      <c r="G43" s="69"/>
      <c r="H43" s="69"/>
      <c r="I43" s="69"/>
      <c r="J43" s="69"/>
      <c r="K43" s="70"/>
      <c r="L43" s="25"/>
      <c r="M43" s="25"/>
      <c r="N43" s="25"/>
      <c r="O43" s="25"/>
      <c r="P43" s="25"/>
    </row>
    <row r="44" ht="15.75" customHeight="1">
      <c r="A44" s="319" t="s">
        <v>210</v>
      </c>
      <c r="B44" s="69"/>
      <c r="C44" s="69"/>
      <c r="D44" s="69"/>
      <c r="E44" s="69"/>
      <c r="F44" s="338" t="s">
        <v>207</v>
      </c>
      <c r="G44" s="69"/>
      <c r="H44" s="69"/>
      <c r="I44" s="69"/>
      <c r="J44" s="69"/>
      <c r="K44" s="70"/>
      <c r="L44" s="25"/>
      <c r="M44" s="25"/>
      <c r="N44" s="25"/>
      <c r="O44" s="25"/>
      <c r="P44" s="25"/>
    </row>
    <row r="45" ht="28.5" customHeight="1">
      <c r="A45" s="339" t="str">
        <f>'Entregas e custos previstos'!B20</f>
        <v>Integração dos dados de RH (SIGP) viabilizada por meio da ferramenta DVM (leitura direta do Mainframe).</v>
      </c>
      <c r="B45" s="69"/>
      <c r="C45" s="69"/>
      <c r="D45" s="69"/>
      <c r="E45" s="69"/>
      <c r="F45" s="340"/>
      <c r="G45" s="69"/>
      <c r="H45" s="69"/>
      <c r="I45" s="69"/>
      <c r="J45" s="69"/>
      <c r="K45" s="70"/>
      <c r="L45" s="25"/>
      <c r="M45" s="25"/>
      <c r="N45" s="25"/>
      <c r="O45" s="25"/>
      <c r="P45" s="25"/>
    </row>
    <row r="46" ht="15.75" customHeight="1">
      <c r="A46" s="339" t="str">
        <f>'Entregas e custos previstos'!B21</f>
        <v>Acessos técnicos à BISP concedidos à equipe do CBMMG (certificados digitais e ferramentas de consulta).</v>
      </c>
      <c r="B46" s="69"/>
      <c r="C46" s="69"/>
      <c r="D46" s="69"/>
      <c r="E46" s="69"/>
      <c r="F46" s="340"/>
      <c r="G46" s="69"/>
      <c r="H46" s="69"/>
      <c r="I46" s="69"/>
      <c r="J46" s="69"/>
      <c r="K46" s="70"/>
      <c r="L46" s="25"/>
      <c r="M46" s="25"/>
      <c r="N46" s="25"/>
      <c r="O46" s="25"/>
      <c r="P46" s="25"/>
    </row>
    <row r="47" ht="15.75" customHeight="1">
      <c r="A47" s="339" t="str">
        <f>'Entregas e custos previstos'!B22</f>
        <v>Painéis de monitoramento, indicadores e relatórios gerenciais a partir dos dados da BISP.</v>
      </c>
      <c r="B47" s="69"/>
      <c r="C47" s="69"/>
      <c r="D47" s="69"/>
      <c r="E47" s="69"/>
      <c r="F47" s="340"/>
      <c r="G47" s="69"/>
      <c r="H47" s="69"/>
      <c r="I47" s="69"/>
      <c r="J47" s="69"/>
      <c r="K47" s="70"/>
      <c r="L47" s="25"/>
      <c r="M47" s="25"/>
      <c r="N47" s="25"/>
      <c r="O47" s="25"/>
      <c r="P47" s="25"/>
    </row>
    <row r="48" ht="15.75" customHeight="1">
      <c r="A48" s="339" t="str">
        <f>'Entregas e custos previstos'!B23</f>
        <v>Manutenção da série histórica do ISCIP.</v>
      </c>
      <c r="B48" s="69"/>
      <c r="C48" s="69"/>
      <c r="D48" s="69"/>
      <c r="E48" s="69"/>
      <c r="F48" s="340"/>
      <c r="G48" s="69"/>
      <c r="H48" s="69"/>
      <c r="I48" s="69"/>
      <c r="J48" s="69"/>
      <c r="K48" s="70"/>
      <c r="L48" s="25"/>
      <c r="M48" s="25"/>
      <c r="N48" s="25"/>
      <c r="O48" s="25"/>
      <c r="P48" s="25"/>
    </row>
    <row r="49" ht="15.75" customHeight="1">
      <c r="A49" s="339" t="str">
        <f>'Entregas e custos previstos'!B24</f>
        <v>Inclusão de campo/label de data da última atualização dos dados.</v>
      </c>
      <c r="B49" s="69"/>
      <c r="C49" s="69"/>
      <c r="D49" s="69"/>
      <c r="E49" s="69"/>
      <c r="F49" s="340"/>
      <c r="G49" s="69"/>
      <c r="H49" s="69"/>
      <c r="I49" s="69"/>
      <c r="J49" s="69"/>
      <c r="K49" s="70"/>
      <c r="L49" s="25"/>
      <c r="M49" s="25"/>
      <c r="N49" s="25"/>
      <c r="O49" s="25"/>
      <c r="P49" s="25"/>
    </row>
    <row r="50">
      <c r="A50" s="339" t="str">
        <f>'Entregas e custos previstos'!B25</f>
        <v/>
      </c>
      <c r="B50" s="69"/>
      <c r="C50" s="69"/>
      <c r="D50" s="69"/>
      <c r="E50" s="69"/>
      <c r="F50" s="340"/>
      <c r="G50" s="69"/>
      <c r="H50" s="69"/>
      <c r="I50" s="69"/>
      <c r="J50" s="69"/>
      <c r="K50" s="70"/>
      <c r="L50" s="25"/>
      <c r="M50" s="25"/>
      <c r="N50" s="25"/>
      <c r="O50" s="25"/>
      <c r="P50" s="25"/>
    </row>
    <row r="51" ht="15.75" customHeight="1">
      <c r="A51" s="339" t="str">
        <f>'Entregas e custos previstos'!B26</f>
        <v/>
      </c>
      <c r="B51" s="69"/>
      <c r="C51" s="69"/>
      <c r="D51" s="69"/>
      <c r="E51" s="69"/>
      <c r="F51" s="340"/>
      <c r="G51" s="69"/>
      <c r="H51" s="69"/>
      <c r="I51" s="69"/>
      <c r="J51" s="69"/>
      <c r="K51" s="70"/>
      <c r="L51" s="25"/>
      <c r="M51" s="25"/>
      <c r="N51" s="25"/>
      <c r="O51" s="25"/>
      <c r="P51" s="25"/>
    </row>
    <row r="52" ht="15.75" customHeight="1">
      <c r="A52" s="339" t="str">
        <f>'Entregas e custos previstos'!B27</f>
        <v/>
      </c>
      <c r="B52" s="69"/>
      <c r="C52" s="69"/>
      <c r="D52" s="69"/>
      <c r="E52" s="69"/>
      <c r="F52" s="340"/>
      <c r="G52" s="69"/>
      <c r="H52" s="69"/>
      <c r="I52" s="69"/>
      <c r="J52" s="69"/>
      <c r="K52" s="70"/>
      <c r="L52" s="25"/>
      <c r="M52" s="25"/>
      <c r="N52" s="25"/>
      <c r="O52" s="25"/>
      <c r="P52" s="25"/>
    </row>
    <row r="53" ht="15.75" customHeight="1">
      <c r="A53" s="339" t="str">
        <f>'Entregas e custos previstos'!B28</f>
        <v/>
      </c>
      <c r="B53" s="69"/>
      <c r="C53" s="69"/>
      <c r="D53" s="69"/>
      <c r="E53" s="69"/>
      <c r="F53" s="340"/>
      <c r="G53" s="69"/>
      <c r="H53" s="69"/>
      <c r="I53" s="69"/>
      <c r="J53" s="69"/>
      <c r="K53" s="70"/>
      <c r="L53" s="25"/>
      <c r="M53" s="25"/>
      <c r="N53" s="25"/>
      <c r="O53" s="25"/>
      <c r="P53" s="25"/>
    </row>
    <row r="54" ht="15.75" customHeight="1">
      <c r="A54" s="339" t="str">
        <f>'Entregas e custos previstos'!B29</f>
        <v/>
      </c>
      <c r="B54" s="69"/>
      <c r="C54" s="69"/>
      <c r="D54" s="69"/>
      <c r="E54" s="69"/>
      <c r="F54" s="340"/>
      <c r="G54" s="69"/>
      <c r="H54" s="69"/>
      <c r="I54" s="69"/>
      <c r="J54" s="69"/>
      <c r="K54" s="70"/>
      <c r="L54" s="25"/>
      <c r="M54" s="25"/>
      <c r="N54" s="25"/>
      <c r="O54" s="25"/>
      <c r="P54" s="25"/>
    </row>
    <row r="55" ht="9.75" customHeight="1">
      <c r="A55" s="334"/>
      <c r="B55" s="323"/>
      <c r="C55" s="323"/>
      <c r="D55" s="323"/>
      <c r="E55" s="323"/>
      <c r="F55" s="323"/>
      <c r="G55" s="323"/>
      <c r="H55" s="323"/>
      <c r="I55" s="323"/>
      <c r="J55" s="323"/>
      <c r="K55" s="324"/>
      <c r="L55" s="25"/>
      <c r="M55" s="25"/>
      <c r="N55" s="25"/>
      <c r="O55" s="25"/>
      <c r="P55" s="25"/>
    </row>
    <row r="56" ht="15.75" customHeight="1">
      <c r="A56" s="342" t="s">
        <v>212</v>
      </c>
      <c r="B56" s="69"/>
      <c r="C56" s="69"/>
      <c r="D56" s="69"/>
      <c r="E56" s="69"/>
      <c r="F56" s="69"/>
      <c r="G56" s="69"/>
      <c r="H56" s="69"/>
      <c r="I56" s="69"/>
      <c r="J56" s="69"/>
      <c r="K56" s="70"/>
      <c r="L56" s="25"/>
      <c r="M56" s="25"/>
      <c r="N56" s="25"/>
      <c r="O56" s="25"/>
      <c r="P56" s="25"/>
    </row>
    <row r="57" ht="15.75" customHeight="1">
      <c r="A57" s="319" t="s">
        <v>214</v>
      </c>
      <c r="B57" s="69"/>
      <c r="C57" s="69"/>
      <c r="D57" s="69"/>
      <c r="E57" s="120"/>
      <c r="F57" s="343" t="s">
        <v>215</v>
      </c>
      <c r="G57" s="69"/>
      <c r="H57" s="69"/>
      <c r="I57" s="69"/>
      <c r="J57" s="69"/>
      <c r="K57" s="70"/>
      <c r="L57" s="25"/>
      <c r="M57" s="25"/>
      <c r="N57" s="25"/>
      <c r="O57" s="25"/>
      <c r="P57" s="25"/>
    </row>
    <row r="58" ht="15.75" customHeight="1">
      <c r="A58" s="344"/>
      <c r="B58" s="69"/>
      <c r="C58" s="69"/>
      <c r="D58" s="69"/>
      <c r="E58" s="69"/>
      <c r="F58" s="340"/>
      <c r="G58" s="69"/>
      <c r="H58" s="69"/>
      <c r="I58" s="69"/>
      <c r="J58" s="69"/>
      <c r="K58" s="70"/>
      <c r="L58" s="25"/>
      <c r="M58" s="25"/>
      <c r="N58" s="25"/>
      <c r="O58" s="25"/>
      <c r="P58" s="25"/>
    </row>
    <row r="59" ht="15.75" customHeight="1">
      <c r="A59" s="344"/>
      <c r="B59" s="69"/>
      <c r="C59" s="69"/>
      <c r="D59" s="69"/>
      <c r="E59" s="69"/>
      <c r="F59" s="340"/>
      <c r="G59" s="69"/>
      <c r="H59" s="69"/>
      <c r="I59" s="69"/>
      <c r="J59" s="69"/>
      <c r="K59" s="70"/>
      <c r="L59" s="25"/>
      <c r="M59" s="25"/>
      <c r="N59" s="25"/>
      <c r="O59" s="25"/>
      <c r="P59" s="25"/>
    </row>
    <row r="60" ht="15.75" customHeight="1">
      <c r="A60" s="344"/>
      <c r="B60" s="69"/>
      <c r="C60" s="69"/>
      <c r="D60" s="69"/>
      <c r="E60" s="69"/>
      <c r="F60" s="340"/>
      <c r="G60" s="69"/>
      <c r="H60" s="69"/>
      <c r="I60" s="69"/>
      <c r="J60" s="69"/>
      <c r="K60" s="70"/>
      <c r="L60" s="25"/>
      <c r="M60" s="25"/>
      <c r="N60" s="25"/>
      <c r="O60" s="25"/>
      <c r="P60" s="25"/>
    </row>
    <row r="61" ht="15.75" customHeight="1">
      <c r="A61" s="344"/>
      <c r="B61" s="69"/>
      <c r="C61" s="69"/>
      <c r="D61" s="69"/>
      <c r="E61" s="69"/>
      <c r="F61" s="340"/>
      <c r="G61" s="69"/>
      <c r="H61" s="69"/>
      <c r="I61" s="69"/>
      <c r="J61" s="69"/>
      <c r="K61" s="70"/>
      <c r="L61" s="25"/>
      <c r="M61" s="25"/>
      <c r="N61" s="25"/>
      <c r="O61" s="25"/>
      <c r="P61" s="25"/>
    </row>
    <row r="62" ht="15.75" customHeight="1">
      <c r="A62" s="345"/>
      <c r="B62" s="84"/>
      <c r="C62" s="84"/>
      <c r="D62" s="84"/>
      <c r="E62" s="84"/>
      <c r="F62" s="346"/>
      <c r="G62" s="84"/>
      <c r="H62" s="84"/>
      <c r="I62" s="84"/>
      <c r="J62" s="84"/>
      <c r="K62" s="85"/>
      <c r="L62" s="25"/>
      <c r="M62" s="25"/>
      <c r="N62" s="25"/>
      <c r="O62" s="25"/>
      <c r="P62" s="25"/>
    </row>
    <row r="63" ht="9.75" customHeight="1">
      <c r="A63" s="334"/>
      <c r="B63" s="323"/>
      <c r="C63" s="323"/>
      <c r="D63" s="323"/>
      <c r="E63" s="323"/>
      <c r="F63" s="323"/>
      <c r="G63" s="323"/>
      <c r="H63" s="323"/>
      <c r="I63" s="323"/>
      <c r="J63" s="323"/>
      <c r="K63" s="324"/>
      <c r="L63" s="25"/>
      <c r="M63" s="25"/>
      <c r="N63" s="25"/>
      <c r="O63" s="25"/>
      <c r="P63" s="25"/>
    </row>
    <row r="64" ht="15.75" customHeight="1">
      <c r="A64" s="335" t="s">
        <v>217</v>
      </c>
      <c r="B64" s="62"/>
      <c r="C64" s="62"/>
      <c r="D64" s="62"/>
      <c r="E64" s="62"/>
      <c r="F64" s="62"/>
      <c r="G64" s="62"/>
      <c r="H64" s="62"/>
      <c r="I64" s="62"/>
      <c r="J64" s="62"/>
      <c r="K64" s="63"/>
      <c r="L64" s="25"/>
      <c r="M64" s="25"/>
      <c r="N64" s="25"/>
      <c r="O64" s="25"/>
      <c r="P64" s="25"/>
    </row>
    <row r="65" ht="15.75" customHeight="1">
      <c r="A65" s="347" t="s">
        <v>218</v>
      </c>
      <c r="B65" s="65"/>
      <c r="C65" s="65"/>
      <c r="D65" s="65"/>
      <c r="E65" s="65"/>
      <c r="F65" s="65"/>
      <c r="G65" s="65"/>
      <c r="H65" s="65"/>
      <c r="I65" s="65"/>
      <c r="J65" s="65"/>
      <c r="K65" s="66"/>
      <c r="L65" s="25"/>
      <c r="M65" s="25"/>
      <c r="N65" s="25"/>
      <c r="O65" s="25"/>
      <c r="P65" s="25"/>
    </row>
    <row r="66" ht="15.75" customHeight="1">
      <c r="A66" s="319" t="s">
        <v>219</v>
      </c>
      <c r="B66" s="69"/>
      <c r="C66" s="69"/>
      <c r="D66" s="120"/>
      <c r="E66" s="343" t="s">
        <v>220</v>
      </c>
      <c r="F66" s="69"/>
      <c r="G66" s="69"/>
      <c r="H66" s="69"/>
      <c r="I66" s="120"/>
      <c r="J66" s="343" t="s">
        <v>221</v>
      </c>
      <c r="K66" s="70"/>
      <c r="L66" s="25"/>
      <c r="M66" s="25"/>
      <c r="N66" s="25"/>
      <c r="O66" s="25"/>
      <c r="P66" s="25"/>
    </row>
    <row r="67" ht="15.75" customHeight="1">
      <c r="A67" s="348"/>
      <c r="B67" s="69"/>
      <c r="C67" s="69"/>
      <c r="D67" s="120"/>
      <c r="E67" s="349"/>
      <c r="F67" s="69"/>
      <c r="G67" s="69"/>
      <c r="H67" s="69"/>
      <c r="I67" s="120"/>
      <c r="J67" s="349"/>
      <c r="K67" s="70"/>
      <c r="L67" s="25"/>
      <c r="M67" s="25"/>
      <c r="N67" s="25"/>
      <c r="O67" s="25"/>
      <c r="P67" s="25"/>
    </row>
    <row r="68" ht="15.75" customHeight="1">
      <c r="A68" s="348"/>
      <c r="B68" s="69"/>
      <c r="C68" s="69"/>
      <c r="D68" s="120"/>
      <c r="E68" s="349"/>
      <c r="F68" s="69"/>
      <c r="G68" s="69"/>
      <c r="H68" s="69"/>
      <c r="I68" s="120"/>
      <c r="J68" s="349"/>
      <c r="K68" s="70"/>
      <c r="L68" s="25"/>
      <c r="M68" s="25"/>
      <c r="N68" s="25"/>
      <c r="O68" s="25"/>
      <c r="P68" s="25"/>
    </row>
    <row r="69" ht="15.75" customHeight="1">
      <c r="A69" s="348"/>
      <c r="B69" s="69"/>
      <c r="C69" s="69"/>
      <c r="D69" s="120"/>
      <c r="E69" s="349"/>
      <c r="F69" s="69"/>
      <c r="G69" s="69"/>
      <c r="H69" s="69"/>
      <c r="I69" s="120"/>
      <c r="J69" s="349"/>
      <c r="K69" s="70"/>
      <c r="L69" s="25"/>
      <c r="M69" s="25"/>
      <c r="N69" s="25"/>
      <c r="O69" s="25"/>
      <c r="P69" s="25"/>
    </row>
    <row r="70" ht="15.75" customHeight="1">
      <c r="A70" s="350"/>
      <c r="B70" s="84"/>
      <c r="C70" s="84"/>
      <c r="D70" s="247"/>
      <c r="E70" s="351"/>
      <c r="F70" s="84"/>
      <c r="G70" s="84"/>
      <c r="H70" s="84"/>
      <c r="I70" s="247"/>
      <c r="J70" s="351"/>
      <c r="K70" s="85"/>
      <c r="L70" s="25"/>
      <c r="M70" s="25"/>
      <c r="N70" s="25"/>
      <c r="O70" s="25"/>
      <c r="P70" s="25"/>
    </row>
    <row r="71" ht="8.25" customHeight="1">
      <c r="A71" s="334"/>
      <c r="B71" s="323"/>
      <c r="C71" s="323"/>
      <c r="D71" s="323"/>
      <c r="E71" s="323"/>
      <c r="F71" s="323"/>
      <c r="G71" s="323"/>
      <c r="H71" s="323"/>
      <c r="I71" s="323"/>
      <c r="J71" s="323"/>
      <c r="K71" s="324"/>
      <c r="L71" s="25"/>
      <c r="M71" s="25"/>
      <c r="N71" s="25"/>
      <c r="O71" s="25"/>
      <c r="P71" s="25"/>
    </row>
    <row r="72" ht="15.75" customHeight="1">
      <c r="A72" s="335" t="s">
        <v>223</v>
      </c>
      <c r="B72" s="62"/>
      <c r="C72" s="62"/>
      <c r="D72" s="62"/>
      <c r="E72" s="62"/>
      <c r="F72" s="62"/>
      <c r="G72" s="62"/>
      <c r="H72" s="62"/>
      <c r="I72" s="62"/>
      <c r="J72" s="62"/>
      <c r="K72" s="63"/>
      <c r="L72" s="25"/>
      <c r="M72" s="25"/>
      <c r="N72" s="25"/>
      <c r="O72" s="25"/>
      <c r="P72" s="25"/>
    </row>
    <row r="73" ht="15.75" customHeight="1">
      <c r="A73" s="352" t="s">
        <v>224</v>
      </c>
      <c r="B73" s="69"/>
      <c r="C73" s="69"/>
      <c r="D73" s="69"/>
      <c r="E73" s="69"/>
      <c r="F73" s="69"/>
      <c r="G73" s="69"/>
      <c r="H73" s="69"/>
      <c r="I73" s="69"/>
      <c r="J73" s="69"/>
      <c r="K73" s="70"/>
      <c r="L73" s="25"/>
      <c r="M73" s="25"/>
      <c r="N73" s="25"/>
      <c r="O73" s="25"/>
      <c r="P73" s="25"/>
    </row>
    <row r="74" ht="52.5" customHeight="1">
      <c r="A74" s="353" t="s">
        <v>226</v>
      </c>
      <c r="B74" s="69"/>
      <c r="C74" s="69"/>
      <c r="D74" s="69"/>
      <c r="E74" s="69"/>
      <c r="F74" s="69"/>
      <c r="G74" s="69"/>
      <c r="H74" s="69"/>
      <c r="I74" s="69"/>
      <c r="J74" s="69"/>
      <c r="K74" s="70"/>
      <c r="L74" s="25"/>
      <c r="M74" s="25"/>
      <c r="N74" s="25"/>
      <c r="O74" s="25"/>
      <c r="P74" s="25"/>
    </row>
    <row r="75" ht="8.25" customHeight="1">
      <c r="A75" s="354"/>
      <c r="B75" s="69"/>
      <c r="C75" s="69"/>
      <c r="D75" s="69"/>
      <c r="E75" s="69"/>
      <c r="F75" s="69"/>
      <c r="G75" s="69"/>
      <c r="H75" s="69"/>
      <c r="I75" s="69"/>
      <c r="J75" s="69"/>
      <c r="K75" s="70"/>
      <c r="L75" s="25"/>
      <c r="M75" s="25"/>
      <c r="N75" s="25"/>
      <c r="O75" s="25"/>
      <c r="P75" s="25"/>
    </row>
    <row r="76" ht="15.75" customHeight="1">
      <c r="A76" s="352" t="s">
        <v>227</v>
      </c>
      <c r="B76" s="69"/>
      <c r="C76" s="69"/>
      <c r="D76" s="69"/>
      <c r="E76" s="69"/>
      <c r="F76" s="69"/>
      <c r="G76" s="69"/>
      <c r="H76" s="69"/>
      <c r="I76" s="69"/>
      <c r="J76" s="69"/>
      <c r="K76" s="70"/>
      <c r="L76" s="25"/>
      <c r="M76" s="25"/>
      <c r="N76" s="25"/>
      <c r="O76" s="25"/>
      <c r="P76" s="25"/>
    </row>
    <row r="77" ht="60.0" customHeight="1">
      <c r="A77" s="355" t="s">
        <v>228</v>
      </c>
      <c r="B77" s="84"/>
      <c r="C77" s="84"/>
      <c r="D77" s="84"/>
      <c r="E77" s="84"/>
      <c r="F77" s="84"/>
      <c r="G77" s="84"/>
      <c r="H77" s="84"/>
      <c r="I77" s="84"/>
      <c r="J77" s="84"/>
      <c r="K77" s="85"/>
      <c r="L77" s="25"/>
      <c r="M77" s="25"/>
      <c r="N77" s="25"/>
      <c r="O77" s="25"/>
      <c r="P77" s="25"/>
    </row>
    <row r="78" ht="15.75" customHeight="1">
      <c r="L78" s="25"/>
      <c r="M78" s="25"/>
      <c r="N78" s="25"/>
      <c r="O78" s="25"/>
      <c r="P78" s="25"/>
    </row>
    <row r="79" ht="15.75" customHeight="1">
      <c r="L79" s="25"/>
      <c r="M79" s="25"/>
      <c r="N79" s="25"/>
      <c r="O79" s="25"/>
      <c r="P79" s="25"/>
    </row>
    <row r="80" ht="15.75" customHeight="1">
      <c r="L80" s="25"/>
      <c r="M80" s="25"/>
      <c r="N80" s="25"/>
      <c r="O80" s="25"/>
      <c r="P80" s="25"/>
    </row>
    <row r="81" ht="15.75" customHeight="1">
      <c r="L81" s="25"/>
      <c r="M81" s="25"/>
      <c r="N81" s="25"/>
      <c r="O81" s="25"/>
      <c r="P81" s="25"/>
    </row>
    <row r="82" ht="15.75" customHeight="1">
      <c r="L82" s="25"/>
      <c r="M82" s="25"/>
      <c r="N82" s="25"/>
      <c r="O82" s="25"/>
      <c r="P82" s="25"/>
    </row>
    <row r="83" ht="15.75" customHeight="1">
      <c r="L83" s="25"/>
      <c r="M83" s="25"/>
      <c r="N83" s="25"/>
      <c r="O83" s="25"/>
      <c r="P83" s="25"/>
    </row>
    <row r="84" ht="15.75" customHeight="1">
      <c r="L84" s="25"/>
      <c r="M84" s="25"/>
      <c r="N84" s="25"/>
      <c r="O84" s="25"/>
      <c r="P84" s="25"/>
    </row>
    <row r="85" ht="15.75" customHeight="1">
      <c r="L85" s="25"/>
      <c r="M85" s="25"/>
      <c r="N85" s="25"/>
      <c r="O85" s="25"/>
      <c r="P85" s="25"/>
    </row>
    <row r="86" ht="15.75" customHeight="1">
      <c r="L86" s="25"/>
      <c r="M86" s="25"/>
      <c r="N86" s="25"/>
      <c r="O86" s="25"/>
      <c r="P86" s="25"/>
    </row>
    <row r="87" ht="15.75" customHeight="1">
      <c r="L87" s="25"/>
      <c r="M87" s="25"/>
      <c r="N87" s="25"/>
      <c r="O87" s="25"/>
      <c r="P87" s="25"/>
    </row>
    <row r="88" ht="15.75" customHeight="1">
      <c r="L88" s="25"/>
      <c r="M88" s="25"/>
      <c r="N88" s="25"/>
      <c r="O88" s="25"/>
      <c r="P88" s="25"/>
    </row>
    <row r="89" ht="15.75" customHeight="1">
      <c r="L89" s="25"/>
      <c r="M89" s="25"/>
      <c r="N89" s="25"/>
      <c r="O89" s="25"/>
      <c r="P89" s="25"/>
    </row>
    <row r="90" ht="15.75" customHeight="1">
      <c r="L90" s="25"/>
      <c r="M90" s="25"/>
      <c r="N90" s="25"/>
      <c r="O90" s="25"/>
      <c r="P90" s="25"/>
    </row>
    <row r="91" ht="15.75" customHeight="1">
      <c r="L91" s="25"/>
      <c r="M91" s="25"/>
      <c r="N91" s="25"/>
      <c r="O91" s="25"/>
      <c r="P91" s="25"/>
    </row>
    <row r="92" ht="15.75" customHeight="1">
      <c r="L92" s="25"/>
      <c r="M92" s="25"/>
      <c r="N92" s="25"/>
      <c r="O92" s="25"/>
      <c r="P92" s="25"/>
    </row>
    <row r="93" ht="15.75" customHeight="1">
      <c r="L93" s="25"/>
      <c r="M93" s="25"/>
      <c r="N93" s="25"/>
      <c r="O93" s="25"/>
      <c r="P93" s="25"/>
    </row>
    <row r="94" ht="15.75" customHeight="1">
      <c r="L94" s="25"/>
      <c r="M94" s="25"/>
      <c r="N94" s="25"/>
      <c r="O94" s="25"/>
      <c r="P94" s="25"/>
    </row>
    <row r="95" ht="15.75" customHeight="1">
      <c r="L95" s="25"/>
      <c r="M95" s="25"/>
      <c r="N95" s="25"/>
      <c r="O95" s="25"/>
      <c r="P95" s="25"/>
    </row>
    <row r="96" ht="15.75" customHeight="1">
      <c r="L96" s="25"/>
      <c r="M96" s="25"/>
      <c r="N96" s="25"/>
      <c r="O96" s="25"/>
      <c r="P96" s="25"/>
    </row>
    <row r="97" ht="15.75" customHeight="1">
      <c r="L97" s="25"/>
      <c r="M97" s="25"/>
      <c r="N97" s="25"/>
      <c r="O97" s="25"/>
      <c r="P97" s="25"/>
    </row>
    <row r="98" ht="15.75" customHeight="1">
      <c r="L98" s="25"/>
      <c r="M98" s="25"/>
      <c r="N98" s="25"/>
      <c r="O98" s="25"/>
      <c r="P98" s="25"/>
    </row>
    <row r="99" ht="15.75" customHeight="1">
      <c r="L99" s="25"/>
      <c r="M99" s="25"/>
      <c r="N99" s="25"/>
      <c r="O99" s="25"/>
      <c r="P99" s="25"/>
    </row>
    <row r="100" ht="15.75" customHeight="1">
      <c r="L100" s="25"/>
      <c r="M100" s="25"/>
      <c r="N100" s="25"/>
      <c r="O100" s="25"/>
      <c r="P100" s="25"/>
    </row>
    <row r="101" ht="15.75" customHeight="1">
      <c r="L101" s="25"/>
      <c r="M101" s="25"/>
      <c r="N101" s="25"/>
      <c r="O101" s="25"/>
      <c r="P101" s="25"/>
    </row>
    <row r="102" ht="15.75" customHeight="1">
      <c r="L102" s="25"/>
      <c r="M102" s="25"/>
      <c r="N102" s="25"/>
      <c r="O102" s="25"/>
      <c r="P102" s="25"/>
    </row>
    <row r="103" ht="15.75" customHeight="1">
      <c r="L103" s="25"/>
      <c r="M103" s="25"/>
      <c r="N103" s="25"/>
      <c r="O103" s="25"/>
      <c r="P103" s="25"/>
    </row>
    <row r="104" ht="15.75" customHeight="1">
      <c r="L104" s="25"/>
      <c r="M104" s="25"/>
      <c r="N104" s="25"/>
      <c r="O104" s="25"/>
      <c r="P104" s="25"/>
    </row>
    <row r="105" ht="15.75" customHeight="1">
      <c r="L105" s="25"/>
      <c r="M105" s="25"/>
      <c r="N105" s="25"/>
      <c r="O105" s="25"/>
      <c r="P105" s="25"/>
    </row>
    <row r="106" ht="15.75" customHeight="1">
      <c r="L106" s="25"/>
      <c r="M106" s="25"/>
      <c r="N106" s="25"/>
      <c r="O106" s="25"/>
      <c r="P106" s="25"/>
    </row>
    <row r="107" ht="15.75" customHeight="1">
      <c r="L107" s="25"/>
      <c r="M107" s="25"/>
      <c r="N107" s="25"/>
      <c r="O107" s="25"/>
      <c r="P107" s="25"/>
    </row>
    <row r="108" ht="15.75" customHeight="1">
      <c r="L108" s="25"/>
      <c r="M108" s="25"/>
      <c r="N108" s="25"/>
      <c r="O108" s="25"/>
      <c r="P108" s="25"/>
    </row>
    <row r="109" ht="15.75" customHeight="1">
      <c r="L109" s="25"/>
      <c r="M109" s="25"/>
      <c r="N109" s="25"/>
      <c r="O109" s="25"/>
      <c r="P109" s="25"/>
    </row>
    <row r="110" ht="15.75" customHeight="1">
      <c r="L110" s="25"/>
      <c r="M110" s="25"/>
      <c r="N110" s="25"/>
      <c r="O110" s="25"/>
      <c r="P110" s="25"/>
    </row>
    <row r="111" ht="15.75" customHeight="1">
      <c r="L111" s="25"/>
      <c r="M111" s="25"/>
      <c r="N111" s="25"/>
      <c r="O111" s="25"/>
      <c r="P111" s="25"/>
    </row>
    <row r="112" ht="15.75" customHeight="1">
      <c r="L112" s="25"/>
      <c r="M112" s="25"/>
      <c r="N112" s="25"/>
      <c r="O112" s="25"/>
      <c r="P112" s="25"/>
    </row>
    <row r="113" ht="15.75" customHeight="1">
      <c r="L113" s="25"/>
      <c r="M113" s="25"/>
      <c r="N113" s="25"/>
      <c r="O113" s="25"/>
      <c r="P113" s="25"/>
    </row>
    <row r="114" ht="15.75" customHeight="1">
      <c r="L114" s="25"/>
      <c r="M114" s="25"/>
      <c r="N114" s="25"/>
      <c r="O114" s="25"/>
      <c r="P114" s="25"/>
    </row>
    <row r="115" ht="15.75" customHeight="1">
      <c r="L115" s="25"/>
      <c r="M115" s="25"/>
      <c r="N115" s="25"/>
      <c r="O115" s="25"/>
      <c r="P115" s="25"/>
    </row>
    <row r="116" ht="15.75" customHeight="1">
      <c r="L116" s="25"/>
      <c r="M116" s="25"/>
      <c r="N116" s="25"/>
      <c r="O116" s="25"/>
      <c r="P116" s="25"/>
    </row>
    <row r="117" ht="15.75" customHeight="1">
      <c r="L117" s="25"/>
      <c r="M117" s="25"/>
      <c r="N117" s="25"/>
      <c r="O117" s="25"/>
      <c r="P117" s="25"/>
    </row>
    <row r="118" ht="15.75" customHeight="1">
      <c r="L118" s="25"/>
      <c r="M118" s="25"/>
      <c r="N118" s="25"/>
      <c r="O118" s="25"/>
      <c r="P118" s="25"/>
    </row>
    <row r="119" ht="15.75" customHeight="1">
      <c r="L119" s="25"/>
      <c r="M119" s="25"/>
      <c r="N119" s="25"/>
      <c r="O119" s="25"/>
      <c r="P119" s="25"/>
    </row>
    <row r="120" ht="15.75" customHeight="1">
      <c r="L120" s="25"/>
      <c r="M120" s="25"/>
      <c r="N120" s="25"/>
      <c r="O120" s="25"/>
      <c r="P120" s="25"/>
    </row>
    <row r="121" ht="15.75" customHeight="1">
      <c r="L121" s="25"/>
      <c r="M121" s="25"/>
      <c r="N121" s="25"/>
      <c r="O121" s="25"/>
      <c r="P121" s="25"/>
    </row>
    <row r="122" ht="15.75" customHeight="1">
      <c r="L122" s="25"/>
      <c r="M122" s="25"/>
      <c r="N122" s="25"/>
      <c r="O122" s="25"/>
      <c r="P122" s="25"/>
    </row>
    <row r="123" ht="15.75" customHeight="1">
      <c r="L123" s="25"/>
      <c r="M123" s="25"/>
      <c r="N123" s="25"/>
      <c r="O123" s="25"/>
      <c r="P123" s="25"/>
    </row>
    <row r="124" ht="15.75" customHeight="1">
      <c r="L124" s="25"/>
      <c r="M124" s="25"/>
      <c r="N124" s="25"/>
      <c r="O124" s="25"/>
      <c r="P124" s="25"/>
    </row>
    <row r="125" ht="15.75" customHeight="1">
      <c r="L125" s="25"/>
      <c r="M125" s="25"/>
      <c r="N125" s="25"/>
      <c r="O125" s="25"/>
      <c r="P125" s="25"/>
    </row>
    <row r="126" ht="15.75" customHeight="1">
      <c r="L126" s="25"/>
      <c r="M126" s="25"/>
      <c r="N126" s="25"/>
      <c r="O126" s="25"/>
      <c r="P126" s="25"/>
    </row>
    <row r="127" ht="15.75" customHeight="1">
      <c r="L127" s="25"/>
      <c r="M127" s="25"/>
      <c r="N127" s="25"/>
      <c r="O127" s="25"/>
      <c r="P127" s="25"/>
    </row>
    <row r="128" ht="15.75" customHeight="1">
      <c r="L128" s="25"/>
      <c r="M128" s="25"/>
      <c r="N128" s="25"/>
      <c r="O128" s="25"/>
      <c r="P128" s="25"/>
    </row>
    <row r="129" ht="15.75" customHeight="1">
      <c r="L129" s="25"/>
      <c r="M129" s="25"/>
      <c r="N129" s="25"/>
      <c r="O129" s="25"/>
      <c r="P129" s="25"/>
    </row>
    <row r="130" ht="15.75" customHeight="1">
      <c r="L130" s="25"/>
      <c r="M130" s="25"/>
      <c r="N130" s="25"/>
      <c r="O130" s="25"/>
      <c r="P130" s="25"/>
    </row>
    <row r="131" ht="15.75" customHeight="1">
      <c r="L131" s="25"/>
      <c r="M131" s="25"/>
      <c r="N131" s="25"/>
      <c r="O131" s="25"/>
      <c r="P131" s="25"/>
    </row>
    <row r="132" ht="15.75" customHeight="1">
      <c r="L132" s="25"/>
      <c r="M132" s="25"/>
      <c r="N132" s="25"/>
      <c r="O132" s="25"/>
      <c r="P132" s="25"/>
    </row>
    <row r="133" ht="15.75" customHeight="1">
      <c r="L133" s="25"/>
      <c r="M133" s="25"/>
      <c r="N133" s="25"/>
      <c r="O133" s="25"/>
      <c r="P133" s="25"/>
    </row>
    <row r="134" ht="15.75" customHeight="1">
      <c r="L134" s="25"/>
      <c r="M134" s="25"/>
      <c r="N134" s="25"/>
      <c r="O134" s="25"/>
      <c r="P134" s="25"/>
    </row>
    <row r="135" ht="15.75" customHeight="1">
      <c r="L135" s="25"/>
      <c r="M135" s="25"/>
      <c r="N135" s="25"/>
      <c r="O135" s="25"/>
      <c r="P135" s="25"/>
    </row>
    <row r="136" ht="15.75" customHeight="1">
      <c r="L136" s="25"/>
      <c r="M136" s="25"/>
      <c r="N136" s="25"/>
      <c r="O136" s="25"/>
      <c r="P136" s="25"/>
    </row>
    <row r="137" ht="15.75" customHeight="1">
      <c r="L137" s="25"/>
      <c r="M137" s="25"/>
      <c r="N137" s="25"/>
      <c r="O137" s="25"/>
      <c r="P137" s="25"/>
    </row>
    <row r="138" ht="15.75" customHeight="1">
      <c r="L138" s="25"/>
      <c r="M138" s="25"/>
      <c r="N138" s="25"/>
      <c r="O138" s="25"/>
      <c r="P138" s="25"/>
    </row>
    <row r="139" ht="15.75" customHeight="1">
      <c r="L139" s="25"/>
      <c r="M139" s="25"/>
      <c r="N139" s="25"/>
      <c r="O139" s="25"/>
      <c r="P139" s="25"/>
    </row>
    <row r="140" ht="15.75" customHeight="1">
      <c r="L140" s="25"/>
      <c r="M140" s="25"/>
      <c r="N140" s="25"/>
      <c r="O140" s="25"/>
      <c r="P140" s="25"/>
    </row>
    <row r="141" ht="15.75" customHeight="1">
      <c r="L141" s="25"/>
      <c r="M141" s="25"/>
      <c r="N141" s="25"/>
      <c r="O141" s="25"/>
      <c r="P141" s="25"/>
    </row>
    <row r="142" ht="15.75" customHeight="1">
      <c r="L142" s="25"/>
      <c r="M142" s="25"/>
      <c r="N142" s="25"/>
      <c r="O142" s="25"/>
      <c r="P142" s="25"/>
    </row>
    <row r="143" ht="15.75" customHeight="1">
      <c r="L143" s="25"/>
      <c r="M143" s="25"/>
      <c r="N143" s="25"/>
      <c r="O143" s="25"/>
      <c r="P143" s="25"/>
    </row>
    <row r="144" ht="15.75" customHeight="1">
      <c r="L144" s="25"/>
      <c r="M144" s="25"/>
      <c r="N144" s="25"/>
      <c r="O144" s="25"/>
      <c r="P144" s="25"/>
    </row>
    <row r="145" ht="15.75" customHeight="1">
      <c r="L145" s="25"/>
      <c r="M145" s="25"/>
      <c r="N145" s="25"/>
      <c r="O145" s="25"/>
      <c r="P145" s="25"/>
    </row>
    <row r="146" ht="15.75" customHeight="1">
      <c r="L146" s="25"/>
      <c r="M146" s="25"/>
      <c r="N146" s="25"/>
      <c r="O146" s="25"/>
      <c r="P146" s="25"/>
    </row>
    <row r="147" ht="15.75" customHeight="1">
      <c r="L147" s="25"/>
      <c r="M147" s="25"/>
      <c r="N147" s="25"/>
      <c r="O147" s="25"/>
      <c r="P147" s="25"/>
    </row>
    <row r="148" ht="15.75" customHeight="1">
      <c r="L148" s="25"/>
      <c r="M148" s="25"/>
      <c r="N148" s="25"/>
      <c r="O148" s="25"/>
      <c r="P148" s="25"/>
    </row>
    <row r="149" ht="15.75" customHeight="1">
      <c r="L149" s="25"/>
      <c r="M149" s="25"/>
      <c r="N149" s="25"/>
      <c r="O149" s="25"/>
      <c r="P149" s="25"/>
    </row>
    <row r="150" ht="15.75" customHeight="1">
      <c r="L150" s="25"/>
      <c r="M150" s="25"/>
      <c r="N150" s="25"/>
      <c r="O150" s="25"/>
      <c r="P150" s="25"/>
    </row>
    <row r="151" ht="15.75" customHeight="1">
      <c r="L151" s="25"/>
      <c r="M151" s="25"/>
      <c r="N151" s="25"/>
      <c r="O151" s="25"/>
      <c r="P151" s="25"/>
    </row>
    <row r="152" ht="15.75" customHeight="1">
      <c r="L152" s="25"/>
      <c r="M152" s="25"/>
      <c r="N152" s="25"/>
      <c r="O152" s="25"/>
      <c r="P152" s="25"/>
    </row>
    <row r="153" ht="15.75" customHeight="1">
      <c r="L153" s="25"/>
      <c r="M153" s="25"/>
      <c r="N153" s="25"/>
      <c r="O153" s="25"/>
      <c r="P153" s="25"/>
    </row>
    <row r="154" ht="15.75" customHeight="1">
      <c r="L154" s="25"/>
      <c r="M154" s="25"/>
      <c r="N154" s="25"/>
      <c r="O154" s="25"/>
      <c r="P154" s="25"/>
    </row>
    <row r="155" ht="15.75" customHeight="1">
      <c r="L155" s="25"/>
      <c r="M155" s="25"/>
      <c r="N155" s="25"/>
      <c r="O155" s="25"/>
      <c r="P155" s="25"/>
    </row>
    <row r="156" ht="15.75" customHeight="1">
      <c r="L156" s="25"/>
      <c r="M156" s="25"/>
      <c r="N156" s="25"/>
      <c r="O156" s="25"/>
      <c r="P156" s="25"/>
    </row>
    <row r="157" ht="15.75" customHeight="1">
      <c r="L157" s="25"/>
      <c r="M157" s="25"/>
      <c r="N157" s="25"/>
      <c r="O157" s="25"/>
      <c r="P157" s="25"/>
    </row>
    <row r="158" ht="15.75" customHeight="1">
      <c r="L158" s="25"/>
      <c r="M158" s="25"/>
      <c r="N158" s="25"/>
      <c r="O158" s="25"/>
      <c r="P158" s="25"/>
    </row>
    <row r="159" ht="15.75" customHeight="1">
      <c r="L159" s="25"/>
      <c r="M159" s="25"/>
      <c r="N159" s="25"/>
      <c r="O159" s="25"/>
      <c r="P159" s="25"/>
    </row>
    <row r="160" ht="15.75" customHeight="1">
      <c r="L160" s="25"/>
      <c r="M160" s="25"/>
      <c r="N160" s="25"/>
      <c r="O160" s="25"/>
      <c r="P160" s="25"/>
    </row>
    <row r="161" ht="15.75" customHeight="1">
      <c r="L161" s="25"/>
      <c r="M161" s="25"/>
      <c r="N161" s="25"/>
      <c r="O161" s="25"/>
      <c r="P161" s="25"/>
    </row>
    <row r="162" ht="15.75" customHeight="1">
      <c r="L162" s="25"/>
      <c r="M162" s="25"/>
      <c r="N162" s="25"/>
      <c r="O162" s="25"/>
      <c r="P162" s="25"/>
    </row>
    <row r="163" ht="15.75" customHeight="1">
      <c r="L163" s="25"/>
      <c r="M163" s="25"/>
      <c r="N163" s="25"/>
      <c r="O163" s="25"/>
      <c r="P163" s="25"/>
    </row>
    <row r="164" ht="15.75" customHeight="1">
      <c r="L164" s="25"/>
      <c r="M164" s="25"/>
      <c r="N164" s="25"/>
      <c r="O164" s="25"/>
      <c r="P164" s="25"/>
    </row>
    <row r="165" ht="15.75" customHeight="1">
      <c r="L165" s="25"/>
      <c r="M165" s="25"/>
      <c r="N165" s="25"/>
      <c r="O165" s="25"/>
      <c r="P165" s="25"/>
    </row>
    <row r="166" ht="15.75" customHeight="1">
      <c r="L166" s="25"/>
      <c r="M166" s="25"/>
      <c r="N166" s="25"/>
      <c r="O166" s="25"/>
      <c r="P166" s="25"/>
    </row>
    <row r="167" ht="15.75" customHeight="1">
      <c r="L167" s="25"/>
      <c r="M167" s="25"/>
      <c r="N167" s="25"/>
      <c r="O167" s="25"/>
      <c r="P167" s="25"/>
    </row>
    <row r="168" ht="15.75" customHeight="1">
      <c r="L168" s="25"/>
      <c r="M168" s="25"/>
      <c r="N168" s="25"/>
      <c r="O168" s="25"/>
      <c r="P168" s="25"/>
    </row>
    <row r="169" ht="15.75" customHeight="1">
      <c r="L169" s="25"/>
      <c r="M169" s="25"/>
      <c r="N169" s="25"/>
      <c r="O169" s="25"/>
      <c r="P169" s="25"/>
    </row>
    <row r="170" ht="15.75" customHeight="1">
      <c r="L170" s="25"/>
      <c r="M170" s="25"/>
      <c r="N170" s="25"/>
      <c r="O170" s="25"/>
      <c r="P170" s="25"/>
    </row>
    <row r="171" ht="15.75" customHeight="1">
      <c r="L171" s="25"/>
      <c r="M171" s="25"/>
      <c r="N171" s="25"/>
      <c r="O171" s="25"/>
      <c r="P171" s="25"/>
    </row>
    <row r="172" ht="15.75" customHeight="1">
      <c r="L172" s="25"/>
      <c r="M172" s="25"/>
      <c r="N172" s="25"/>
      <c r="O172" s="25"/>
      <c r="P172" s="25"/>
    </row>
    <row r="173" ht="15.75" customHeight="1">
      <c r="L173" s="25"/>
      <c r="M173" s="25"/>
      <c r="N173" s="25"/>
      <c r="O173" s="25"/>
      <c r="P173" s="25"/>
    </row>
    <row r="174" ht="15.75" customHeight="1">
      <c r="L174" s="25"/>
      <c r="M174" s="25"/>
      <c r="N174" s="25"/>
      <c r="O174" s="25"/>
      <c r="P174" s="25"/>
    </row>
    <row r="175" ht="15.75" customHeight="1">
      <c r="L175" s="25"/>
      <c r="M175" s="25"/>
      <c r="N175" s="25"/>
      <c r="O175" s="25"/>
      <c r="P175" s="25"/>
    </row>
    <row r="176" ht="15.75" customHeight="1">
      <c r="L176" s="25"/>
      <c r="M176" s="25"/>
      <c r="N176" s="25"/>
      <c r="O176" s="25"/>
      <c r="P176" s="25"/>
    </row>
    <row r="177" ht="15.75" customHeight="1">
      <c r="L177" s="25"/>
      <c r="M177" s="25"/>
      <c r="N177" s="25"/>
      <c r="O177" s="25"/>
      <c r="P177" s="25"/>
    </row>
    <row r="178" ht="15.75" customHeight="1">
      <c r="L178" s="25"/>
      <c r="M178" s="25"/>
      <c r="N178" s="25"/>
      <c r="O178" s="25"/>
      <c r="P178" s="25"/>
    </row>
    <row r="179" ht="15.75" customHeight="1">
      <c r="L179" s="25"/>
      <c r="M179" s="25"/>
      <c r="N179" s="25"/>
      <c r="O179" s="25"/>
      <c r="P179" s="25"/>
    </row>
    <row r="180" ht="15.75" customHeight="1">
      <c r="L180" s="25"/>
      <c r="M180" s="25"/>
      <c r="N180" s="25"/>
      <c r="O180" s="25"/>
      <c r="P180" s="25"/>
    </row>
    <row r="181" ht="15.75" customHeight="1">
      <c r="L181" s="25"/>
      <c r="M181" s="25"/>
      <c r="N181" s="25"/>
      <c r="O181" s="25"/>
      <c r="P181" s="25"/>
    </row>
    <row r="182" ht="15.75" customHeight="1">
      <c r="L182" s="25"/>
      <c r="M182" s="25"/>
      <c r="N182" s="25"/>
      <c r="O182" s="25"/>
      <c r="P182" s="25"/>
    </row>
    <row r="183" ht="15.75" customHeight="1">
      <c r="L183" s="25"/>
      <c r="M183" s="25"/>
      <c r="N183" s="25"/>
      <c r="O183" s="25"/>
      <c r="P183" s="25"/>
    </row>
    <row r="184" ht="15.75" customHeight="1">
      <c r="L184" s="25"/>
      <c r="M184" s="25"/>
      <c r="N184" s="25"/>
      <c r="O184" s="25"/>
      <c r="P184" s="25"/>
    </row>
    <row r="185" ht="15.75" customHeight="1">
      <c r="L185" s="25"/>
      <c r="M185" s="25"/>
      <c r="N185" s="25"/>
      <c r="O185" s="25"/>
      <c r="P185" s="25"/>
    </row>
    <row r="186" ht="15.75" customHeight="1">
      <c r="L186" s="25"/>
      <c r="M186" s="25"/>
      <c r="N186" s="25"/>
      <c r="O186" s="25"/>
      <c r="P186" s="25"/>
    </row>
    <row r="187" ht="15.75" customHeight="1">
      <c r="L187" s="25"/>
      <c r="M187" s="25"/>
      <c r="N187" s="25"/>
      <c r="O187" s="25"/>
      <c r="P187" s="25"/>
    </row>
    <row r="188" ht="15.75" customHeight="1">
      <c r="L188" s="25"/>
      <c r="M188" s="25"/>
      <c r="N188" s="25"/>
      <c r="O188" s="25"/>
      <c r="P188" s="25"/>
    </row>
    <row r="189" ht="15.75" customHeight="1">
      <c r="L189" s="25"/>
      <c r="M189" s="25"/>
      <c r="N189" s="25"/>
      <c r="O189" s="25"/>
      <c r="P189" s="25"/>
    </row>
    <row r="190" ht="15.75" customHeight="1">
      <c r="L190" s="25"/>
      <c r="M190" s="25"/>
      <c r="N190" s="25"/>
      <c r="O190" s="25"/>
      <c r="P190" s="25"/>
    </row>
    <row r="191" ht="15.75" customHeight="1">
      <c r="L191" s="25"/>
      <c r="M191" s="25"/>
      <c r="N191" s="25"/>
      <c r="O191" s="25"/>
      <c r="P191" s="25"/>
    </row>
    <row r="192" ht="15.75" customHeight="1">
      <c r="L192" s="25"/>
      <c r="M192" s="25"/>
      <c r="N192" s="25"/>
      <c r="O192" s="25"/>
      <c r="P192" s="25"/>
    </row>
    <row r="193" ht="15.75" customHeight="1">
      <c r="L193" s="25"/>
      <c r="M193" s="25"/>
      <c r="N193" s="25"/>
      <c r="O193" s="25"/>
      <c r="P193" s="25"/>
    </row>
    <row r="194" ht="15.75" customHeight="1">
      <c r="L194" s="25"/>
      <c r="M194" s="25"/>
      <c r="N194" s="25"/>
      <c r="O194" s="25"/>
      <c r="P194" s="25"/>
    </row>
    <row r="195" ht="15.75" customHeight="1">
      <c r="L195" s="25"/>
      <c r="M195" s="25"/>
      <c r="N195" s="25"/>
      <c r="O195" s="25"/>
      <c r="P195" s="25"/>
    </row>
    <row r="196" ht="15.75" customHeight="1">
      <c r="L196" s="25"/>
      <c r="M196" s="25"/>
      <c r="N196" s="25"/>
      <c r="O196" s="25"/>
      <c r="P196" s="25"/>
    </row>
    <row r="197" ht="15.75" customHeight="1">
      <c r="L197" s="25"/>
      <c r="M197" s="25"/>
      <c r="N197" s="25"/>
      <c r="O197" s="25"/>
      <c r="P197" s="25"/>
    </row>
    <row r="198" ht="15.75" customHeight="1">
      <c r="L198" s="25"/>
      <c r="M198" s="25"/>
      <c r="N198" s="25"/>
      <c r="O198" s="25"/>
      <c r="P198" s="25"/>
    </row>
    <row r="199" ht="15.75" customHeight="1">
      <c r="L199" s="25"/>
      <c r="M199" s="25"/>
      <c r="N199" s="25"/>
      <c r="O199" s="25"/>
      <c r="P199" s="25"/>
    </row>
    <row r="200" ht="15.75" customHeight="1">
      <c r="L200" s="25"/>
      <c r="M200" s="25"/>
      <c r="N200" s="25"/>
      <c r="O200" s="25"/>
      <c r="P200" s="25"/>
    </row>
    <row r="201" ht="15.75" customHeight="1">
      <c r="L201" s="25"/>
      <c r="M201" s="25"/>
      <c r="N201" s="25"/>
      <c r="O201" s="25"/>
      <c r="P201" s="25"/>
    </row>
    <row r="202" ht="15.75" customHeight="1">
      <c r="L202" s="25"/>
      <c r="M202" s="25"/>
      <c r="N202" s="25"/>
      <c r="O202" s="25"/>
      <c r="P202" s="25"/>
    </row>
    <row r="203" ht="15.75" customHeight="1">
      <c r="L203" s="25"/>
      <c r="M203" s="25"/>
      <c r="N203" s="25"/>
      <c r="O203" s="25"/>
      <c r="P203" s="25"/>
    </row>
    <row r="204" ht="15.75" customHeight="1">
      <c r="L204" s="25"/>
      <c r="M204" s="25"/>
      <c r="N204" s="25"/>
      <c r="O204" s="25"/>
      <c r="P204" s="25"/>
    </row>
    <row r="205" ht="15.75" customHeight="1">
      <c r="L205" s="25"/>
      <c r="M205" s="25"/>
      <c r="N205" s="25"/>
      <c r="O205" s="25"/>
      <c r="P205" s="25"/>
    </row>
    <row r="206" ht="15.75" customHeight="1">
      <c r="L206" s="25"/>
      <c r="M206" s="25"/>
      <c r="N206" s="25"/>
      <c r="O206" s="25"/>
      <c r="P206" s="25"/>
    </row>
    <row r="207" ht="15.75" customHeight="1">
      <c r="L207" s="25"/>
      <c r="M207" s="25"/>
      <c r="N207" s="25"/>
      <c r="O207" s="25"/>
      <c r="P207" s="25"/>
    </row>
    <row r="208" ht="15.75" customHeight="1">
      <c r="L208" s="25"/>
      <c r="M208" s="25"/>
      <c r="N208" s="25"/>
      <c r="O208" s="25"/>
      <c r="P208" s="25"/>
    </row>
    <row r="209" ht="15.75" customHeight="1">
      <c r="L209" s="25"/>
      <c r="M209" s="25"/>
      <c r="N209" s="25"/>
      <c r="O209" s="25"/>
      <c r="P209" s="25"/>
    </row>
    <row r="210" ht="15.75" customHeight="1">
      <c r="L210" s="25"/>
      <c r="M210" s="25"/>
      <c r="N210" s="25"/>
      <c r="O210" s="25"/>
      <c r="P210" s="25"/>
    </row>
    <row r="211" ht="15.75" customHeight="1">
      <c r="L211" s="25"/>
      <c r="M211" s="25"/>
      <c r="N211" s="25"/>
      <c r="O211" s="25"/>
      <c r="P211" s="25"/>
    </row>
    <row r="212" ht="15.75" customHeight="1">
      <c r="L212" s="25"/>
      <c r="M212" s="25"/>
      <c r="N212" s="25"/>
      <c r="O212" s="25"/>
      <c r="P212" s="25"/>
    </row>
    <row r="213" ht="15.75" customHeight="1">
      <c r="L213" s="25"/>
      <c r="M213" s="25"/>
      <c r="N213" s="25"/>
      <c r="O213" s="25"/>
      <c r="P213" s="25"/>
    </row>
    <row r="214" ht="15.75" customHeight="1">
      <c r="L214" s="25"/>
      <c r="M214" s="25"/>
      <c r="N214" s="25"/>
      <c r="O214" s="25"/>
      <c r="P214" s="25"/>
    </row>
    <row r="215" ht="15.75" customHeight="1">
      <c r="L215" s="25"/>
      <c r="M215" s="25"/>
      <c r="N215" s="25"/>
      <c r="O215" s="25"/>
      <c r="P215" s="25"/>
    </row>
    <row r="216" ht="15.75" customHeight="1">
      <c r="L216" s="25"/>
      <c r="M216" s="25"/>
      <c r="N216" s="25"/>
      <c r="O216" s="25"/>
      <c r="P216" s="25"/>
    </row>
    <row r="217" ht="15.75" customHeight="1">
      <c r="L217" s="25"/>
      <c r="M217" s="25"/>
      <c r="N217" s="25"/>
      <c r="O217" s="25"/>
      <c r="P217" s="25"/>
    </row>
    <row r="218" ht="15.75" customHeight="1">
      <c r="L218" s="25"/>
      <c r="M218" s="25"/>
      <c r="N218" s="25"/>
      <c r="O218" s="25"/>
      <c r="P218" s="25"/>
    </row>
    <row r="219" ht="15.75" customHeight="1">
      <c r="L219" s="25"/>
      <c r="M219" s="25"/>
      <c r="N219" s="25"/>
      <c r="O219" s="25"/>
      <c r="P219" s="25"/>
    </row>
    <row r="220" ht="15.75" customHeight="1">
      <c r="L220" s="25"/>
      <c r="M220" s="25"/>
      <c r="N220" s="25"/>
      <c r="O220" s="25"/>
      <c r="P220" s="25"/>
    </row>
    <row r="221" ht="15.75" customHeight="1">
      <c r="L221" s="25"/>
      <c r="M221" s="25"/>
      <c r="N221" s="25"/>
      <c r="O221" s="25"/>
      <c r="P221" s="25"/>
    </row>
    <row r="222" ht="15.75" customHeight="1">
      <c r="L222" s="25"/>
      <c r="M222" s="25"/>
      <c r="N222" s="25"/>
      <c r="O222" s="25"/>
      <c r="P222" s="25"/>
    </row>
    <row r="223" ht="15.75" customHeight="1">
      <c r="L223" s="25"/>
      <c r="M223" s="25"/>
      <c r="N223" s="25"/>
      <c r="O223" s="25"/>
      <c r="P223" s="25"/>
    </row>
    <row r="224" ht="15.75" customHeight="1">
      <c r="L224" s="25"/>
      <c r="M224" s="25"/>
      <c r="N224" s="25"/>
      <c r="O224" s="25"/>
      <c r="P224" s="25"/>
    </row>
    <row r="225" ht="15.75" customHeight="1">
      <c r="L225" s="25"/>
      <c r="M225" s="25"/>
      <c r="N225" s="25"/>
      <c r="O225" s="25"/>
      <c r="P225" s="25"/>
    </row>
    <row r="226" ht="15.75" customHeight="1">
      <c r="L226" s="25"/>
      <c r="M226" s="25"/>
      <c r="N226" s="25"/>
      <c r="O226" s="25"/>
      <c r="P226" s="25"/>
    </row>
    <row r="227" ht="15.75" customHeight="1">
      <c r="L227" s="25"/>
      <c r="M227" s="25"/>
      <c r="N227" s="25"/>
      <c r="O227" s="25"/>
      <c r="P227" s="25"/>
    </row>
    <row r="228" ht="15.75" customHeight="1">
      <c r="L228" s="25"/>
      <c r="M228" s="25"/>
      <c r="N228" s="25"/>
      <c r="O228" s="25"/>
      <c r="P228" s="25"/>
    </row>
    <row r="229" ht="15.75" customHeight="1">
      <c r="L229" s="25"/>
      <c r="M229" s="25"/>
      <c r="N229" s="25"/>
      <c r="O229" s="25"/>
      <c r="P229" s="25"/>
    </row>
    <row r="230" ht="15.75" customHeight="1">
      <c r="L230" s="25"/>
      <c r="M230" s="25"/>
      <c r="N230" s="25"/>
      <c r="O230" s="25"/>
      <c r="P230" s="25"/>
    </row>
    <row r="231" ht="15.75" customHeight="1">
      <c r="L231" s="25"/>
      <c r="M231" s="25"/>
      <c r="N231" s="25"/>
      <c r="O231" s="25"/>
      <c r="P231" s="25"/>
    </row>
    <row r="232" ht="15.75" customHeight="1">
      <c r="L232" s="25"/>
      <c r="M232" s="25"/>
      <c r="N232" s="25"/>
      <c r="O232" s="25"/>
      <c r="P232" s="25"/>
    </row>
    <row r="233" ht="15.75" customHeight="1">
      <c r="L233" s="25"/>
      <c r="M233" s="25"/>
      <c r="N233" s="25"/>
      <c r="O233" s="25"/>
      <c r="P233" s="25"/>
    </row>
    <row r="234" ht="15.75" customHeight="1">
      <c r="L234" s="25"/>
      <c r="M234" s="25"/>
      <c r="N234" s="25"/>
      <c r="O234" s="25"/>
      <c r="P234" s="25"/>
    </row>
    <row r="235" ht="15.75" customHeight="1">
      <c r="L235" s="25"/>
      <c r="M235" s="25"/>
      <c r="N235" s="25"/>
      <c r="O235" s="25"/>
      <c r="P235" s="25"/>
    </row>
    <row r="236" ht="15.75" customHeight="1">
      <c r="L236" s="25"/>
      <c r="M236" s="25"/>
      <c r="N236" s="25"/>
      <c r="O236" s="25"/>
      <c r="P236" s="25"/>
    </row>
    <row r="237" ht="15.75" customHeight="1">
      <c r="L237" s="25"/>
      <c r="M237" s="25"/>
      <c r="N237" s="25"/>
      <c r="O237" s="25"/>
      <c r="P237" s="25"/>
    </row>
    <row r="238" ht="15.75" customHeight="1">
      <c r="L238" s="25"/>
      <c r="M238" s="25"/>
      <c r="N238" s="25"/>
      <c r="O238" s="25"/>
      <c r="P238" s="25"/>
    </row>
    <row r="239" ht="15.75" customHeight="1">
      <c r="L239" s="25"/>
      <c r="M239" s="25"/>
      <c r="N239" s="25"/>
      <c r="O239" s="25"/>
      <c r="P239" s="25"/>
    </row>
    <row r="240" ht="15.75" customHeight="1">
      <c r="L240" s="25"/>
      <c r="M240" s="25"/>
      <c r="N240" s="25"/>
      <c r="O240" s="25"/>
      <c r="P240" s="25"/>
    </row>
    <row r="241" ht="15.75" customHeight="1">
      <c r="L241" s="25"/>
      <c r="M241" s="25"/>
      <c r="N241" s="25"/>
      <c r="O241" s="25"/>
      <c r="P241" s="25"/>
    </row>
    <row r="242" ht="15.75" customHeight="1">
      <c r="L242" s="25"/>
      <c r="M242" s="25"/>
      <c r="N242" s="25"/>
      <c r="O242" s="25"/>
      <c r="P242" s="25"/>
    </row>
    <row r="243" ht="15.75" customHeight="1">
      <c r="L243" s="25"/>
      <c r="M243" s="25"/>
      <c r="N243" s="25"/>
      <c r="O243" s="25"/>
      <c r="P243" s="25"/>
    </row>
    <row r="244" ht="15.75" customHeight="1">
      <c r="L244" s="25"/>
      <c r="M244" s="25"/>
      <c r="N244" s="25"/>
      <c r="O244" s="25"/>
      <c r="P244" s="25"/>
    </row>
    <row r="245" ht="15.75" customHeight="1">
      <c r="L245" s="25"/>
      <c r="M245" s="25"/>
      <c r="N245" s="25"/>
      <c r="O245" s="25"/>
      <c r="P245" s="25"/>
    </row>
    <row r="246" ht="15.75" customHeight="1">
      <c r="L246" s="25"/>
      <c r="M246" s="25"/>
      <c r="N246" s="25"/>
      <c r="O246" s="25"/>
      <c r="P246" s="25"/>
    </row>
    <row r="247" ht="15.75" customHeight="1">
      <c r="L247" s="25"/>
      <c r="M247" s="25"/>
      <c r="N247" s="25"/>
      <c r="O247" s="25"/>
      <c r="P247" s="25"/>
    </row>
    <row r="248" ht="15.75" customHeight="1">
      <c r="L248" s="25"/>
      <c r="M248" s="25"/>
      <c r="N248" s="25"/>
      <c r="O248" s="25"/>
      <c r="P248" s="25"/>
    </row>
    <row r="249" ht="15.75" customHeight="1">
      <c r="L249" s="25"/>
      <c r="M249" s="25"/>
      <c r="N249" s="25"/>
      <c r="O249" s="25"/>
      <c r="P249" s="25"/>
    </row>
    <row r="250" ht="15.75" customHeight="1">
      <c r="L250" s="25"/>
      <c r="M250" s="25"/>
      <c r="N250" s="25"/>
      <c r="O250" s="25"/>
      <c r="P250" s="25"/>
    </row>
    <row r="251" ht="15.75" customHeight="1">
      <c r="L251" s="25"/>
      <c r="M251" s="25"/>
      <c r="N251" s="25"/>
      <c r="O251" s="25"/>
      <c r="P251" s="25"/>
    </row>
    <row r="252" ht="15.75" customHeight="1">
      <c r="L252" s="25"/>
      <c r="M252" s="25"/>
      <c r="N252" s="25"/>
      <c r="O252" s="25"/>
      <c r="P252" s="25"/>
    </row>
    <row r="253" ht="15.75" customHeight="1">
      <c r="L253" s="25"/>
      <c r="M253" s="25"/>
      <c r="N253" s="25"/>
      <c r="O253" s="25"/>
      <c r="P253" s="25"/>
    </row>
    <row r="254" ht="15.75" customHeight="1">
      <c r="L254" s="25"/>
      <c r="M254" s="25"/>
      <c r="N254" s="25"/>
      <c r="O254" s="25"/>
      <c r="P254" s="25"/>
    </row>
    <row r="255" ht="15.75" customHeight="1">
      <c r="L255" s="25"/>
      <c r="M255" s="25"/>
      <c r="N255" s="25"/>
      <c r="O255" s="25"/>
      <c r="P255" s="25"/>
    </row>
    <row r="256" ht="15.75" customHeight="1">
      <c r="L256" s="25"/>
      <c r="M256" s="25"/>
      <c r="N256" s="25"/>
      <c r="O256" s="25"/>
      <c r="P256" s="25"/>
    </row>
    <row r="257" ht="15.75" customHeight="1">
      <c r="L257" s="25"/>
      <c r="M257" s="25"/>
      <c r="N257" s="25"/>
      <c r="O257" s="25"/>
      <c r="P257" s="25"/>
    </row>
    <row r="258" ht="15.75" customHeight="1">
      <c r="L258" s="25"/>
      <c r="M258" s="25"/>
      <c r="N258" s="25"/>
      <c r="O258" s="25"/>
      <c r="P258" s="25"/>
    </row>
    <row r="259" ht="15.75" customHeight="1">
      <c r="L259" s="25"/>
      <c r="M259" s="25"/>
      <c r="N259" s="25"/>
      <c r="O259" s="25"/>
      <c r="P259" s="25"/>
    </row>
    <row r="260" ht="15.75" customHeight="1">
      <c r="L260" s="25"/>
      <c r="M260" s="25"/>
      <c r="N260" s="25"/>
      <c r="O260" s="25"/>
      <c r="P260" s="25"/>
    </row>
    <row r="261" ht="15.75" customHeight="1">
      <c r="L261" s="25"/>
      <c r="M261" s="25"/>
      <c r="N261" s="25"/>
      <c r="O261" s="25"/>
      <c r="P261" s="25"/>
    </row>
    <row r="262" ht="15.75" customHeight="1">
      <c r="L262" s="25"/>
      <c r="M262" s="25"/>
      <c r="N262" s="25"/>
      <c r="O262" s="25"/>
      <c r="P262" s="25"/>
    </row>
    <row r="263" ht="15.75" customHeight="1">
      <c r="L263" s="25"/>
      <c r="M263" s="25"/>
      <c r="N263" s="25"/>
      <c r="O263" s="25"/>
      <c r="P263" s="25"/>
    </row>
    <row r="264" ht="15.75" customHeight="1">
      <c r="L264" s="25"/>
      <c r="M264" s="25"/>
      <c r="N264" s="25"/>
      <c r="O264" s="25"/>
      <c r="P264" s="25"/>
    </row>
    <row r="265" ht="15.75" customHeight="1">
      <c r="L265" s="25"/>
      <c r="M265" s="25"/>
      <c r="N265" s="25"/>
      <c r="O265" s="25"/>
      <c r="P265" s="25"/>
    </row>
    <row r="266" ht="15.75" customHeight="1">
      <c r="L266" s="25"/>
      <c r="M266" s="25"/>
      <c r="N266" s="25"/>
      <c r="O266" s="25"/>
      <c r="P266" s="25"/>
    </row>
    <row r="267" ht="15.75" customHeight="1">
      <c r="L267" s="25"/>
      <c r="M267" s="25"/>
      <c r="N267" s="25"/>
      <c r="O267" s="25"/>
      <c r="P267" s="25"/>
    </row>
    <row r="268" ht="15.75" customHeight="1">
      <c r="L268" s="25"/>
      <c r="M268" s="25"/>
      <c r="N268" s="25"/>
      <c r="O268" s="25"/>
      <c r="P268" s="25"/>
    </row>
    <row r="269" ht="15.75" customHeight="1">
      <c r="L269" s="25"/>
      <c r="M269" s="25"/>
      <c r="N269" s="25"/>
      <c r="O269" s="25"/>
      <c r="P269" s="25"/>
    </row>
    <row r="270" ht="15.75" customHeight="1">
      <c r="L270" s="25"/>
      <c r="M270" s="25"/>
      <c r="N270" s="25"/>
      <c r="O270" s="25"/>
      <c r="P270" s="25"/>
    </row>
    <row r="271" ht="15.75" customHeight="1">
      <c r="L271" s="25"/>
      <c r="M271" s="25"/>
      <c r="N271" s="25"/>
      <c r="O271" s="25"/>
      <c r="P271" s="25"/>
    </row>
    <row r="272" ht="15.75" customHeight="1">
      <c r="L272" s="25"/>
      <c r="M272" s="25"/>
      <c r="N272" s="25"/>
      <c r="O272" s="25"/>
      <c r="P272" s="25"/>
    </row>
    <row r="273" ht="15.75" customHeight="1">
      <c r="L273" s="25"/>
      <c r="M273" s="25"/>
      <c r="N273" s="25"/>
      <c r="O273" s="25"/>
      <c r="P273" s="25"/>
    </row>
    <row r="274" ht="15.75" customHeight="1">
      <c r="L274" s="25"/>
      <c r="M274" s="25"/>
      <c r="N274" s="25"/>
      <c r="O274" s="25"/>
      <c r="P274" s="25"/>
    </row>
    <row r="275" ht="15.75" customHeight="1">
      <c r="L275" s="25"/>
      <c r="M275" s="25"/>
      <c r="N275" s="25"/>
      <c r="O275" s="25"/>
      <c r="P275" s="25"/>
    </row>
    <row r="276" ht="15.75" customHeight="1">
      <c r="L276" s="25"/>
      <c r="M276" s="25"/>
      <c r="N276" s="25"/>
      <c r="O276" s="25"/>
      <c r="P276" s="25"/>
    </row>
    <row r="277" ht="15.75" customHeight="1">
      <c r="L277" s="25"/>
      <c r="M277" s="25"/>
      <c r="N277" s="25"/>
      <c r="O277" s="25"/>
      <c r="P277" s="25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93">
    <mergeCell ref="A40:C40"/>
    <mergeCell ref="D40:K40"/>
    <mergeCell ref="A41:C41"/>
    <mergeCell ref="D41:K41"/>
    <mergeCell ref="A43:K43"/>
    <mergeCell ref="A44:E44"/>
    <mergeCell ref="F44:K44"/>
    <mergeCell ref="A45:E45"/>
    <mergeCell ref="F45:K45"/>
    <mergeCell ref="A46:E46"/>
    <mergeCell ref="F46:K46"/>
    <mergeCell ref="A47:E47"/>
    <mergeCell ref="F47:K47"/>
    <mergeCell ref="F48:K48"/>
    <mergeCell ref="F49:K49"/>
    <mergeCell ref="F50:K50"/>
    <mergeCell ref="F51:K51"/>
    <mergeCell ref="F52:K52"/>
    <mergeCell ref="F53:K53"/>
    <mergeCell ref="F54:K54"/>
    <mergeCell ref="A56:K56"/>
    <mergeCell ref="A57:E57"/>
    <mergeCell ref="F57:K57"/>
    <mergeCell ref="A58:E58"/>
    <mergeCell ref="F58:K58"/>
    <mergeCell ref="A59:E59"/>
    <mergeCell ref="F59:K59"/>
    <mergeCell ref="F60:K60"/>
    <mergeCell ref="E68:I68"/>
    <mergeCell ref="J68:K68"/>
    <mergeCell ref="A66:D66"/>
    <mergeCell ref="E66:I66"/>
    <mergeCell ref="J66:K66"/>
    <mergeCell ref="A67:D67"/>
    <mergeCell ref="E67:I67"/>
    <mergeCell ref="J67:K67"/>
    <mergeCell ref="A68:D68"/>
    <mergeCell ref="A73:K73"/>
    <mergeCell ref="A74:K74"/>
    <mergeCell ref="A75:K75"/>
    <mergeCell ref="A76:K76"/>
    <mergeCell ref="A77:K77"/>
    <mergeCell ref="A69:D69"/>
    <mergeCell ref="E69:I69"/>
    <mergeCell ref="J69:K69"/>
    <mergeCell ref="A70:D70"/>
    <mergeCell ref="E70:I70"/>
    <mergeCell ref="J70:K70"/>
    <mergeCell ref="A72:K72"/>
    <mergeCell ref="H10:K10"/>
    <mergeCell ref="H11:K11"/>
    <mergeCell ref="A7:K7"/>
    <mergeCell ref="B8:E8"/>
    <mergeCell ref="H8:K8"/>
    <mergeCell ref="A9:A10"/>
    <mergeCell ref="B9:E10"/>
    <mergeCell ref="H9:K9"/>
    <mergeCell ref="B11:E11"/>
    <mergeCell ref="A13:K13"/>
    <mergeCell ref="A14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1"/>
    <mergeCell ref="A33:K33"/>
    <mergeCell ref="A34:A36"/>
    <mergeCell ref="B34:K36"/>
    <mergeCell ref="A38:K38"/>
    <mergeCell ref="A39:K39"/>
    <mergeCell ref="A48:E48"/>
    <mergeCell ref="A49:E49"/>
    <mergeCell ref="A50:E50"/>
    <mergeCell ref="A51:E51"/>
    <mergeCell ref="A52:E52"/>
    <mergeCell ref="A53:E53"/>
    <mergeCell ref="A54:E54"/>
    <mergeCell ref="A60:E60"/>
    <mergeCell ref="A61:E61"/>
    <mergeCell ref="F61:K61"/>
    <mergeCell ref="A62:E62"/>
    <mergeCell ref="F62:K62"/>
    <mergeCell ref="A64:K64"/>
    <mergeCell ref="A65:K65"/>
  </mergeCells>
  <dataValidations>
    <dataValidation type="list" allowBlank="1" showErrorMessage="1" sqref="A34">
      <formula1>"Projeto concluído,Projeto não concluído,Projeto cancelado"</formula1>
    </dataValidation>
  </dataValidations>
  <drawing r:id="rId1"/>
</worksheet>
</file>